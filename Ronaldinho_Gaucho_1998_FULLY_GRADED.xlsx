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3"/>
  </bookViews>
  <sheets>
    <sheet name="HOW_TO_USE" sheetId="1" state="visible" r:id="rId3"/>
    <sheet name="PLAYER_PROFILE" sheetId="2" state="visible" r:id="rId4"/>
    <sheet name="EVENT_LOG" sheetId="3" state="visible" r:id="rId5"/>
    <sheet name="SCORES" sheetId="4" state="visible" r:id="rId6"/>
    <sheet name="RUBRIC_QUICK_REF" sheetId="5" state="visible" r:id="rId7"/>
    <sheet name="PUNCH_LIS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<sst xmlns="http://schemas.openxmlformats.org/spreadsheetml/2006/main" count="1524" uniqueCount="462">
  <si>
    <t xml:space="preserve">EMPIRE FGA  |  VIDEO ANALYSIS SCORING TEMPLATE  |  v1.0  |  OBI + SII + 11 Video Metrics</t>
  </si>
  <si>
    <t xml:space="preserve">Companion to: Empire FGA OBI &amp; SII Rubric Framework v1.0  |  Use with: Empire_FGA_Eredivisie_2025_2026_v3.0.xlsx  |  March 2026</t>
  </si>
  <si>
    <t xml:space="preserve">THE CORE PRINCIPLE</t>
  </si>
  <si>
    <t xml:space="preserve">Score one metric across all matches — not all metrics in one match.
This is faster, more accurate, and avoids rubric fatigue.</t>
  </si>
  <si>
    <t xml:space="preserve">STEP 1</t>
  </si>
  <si>
    <t xml:space="preserve">Fill in PLAYER_PROFILE tab.
Enter player name, position, league, season, and notes on why they were selected.
Complete the MATCH_REGISTER — all 5 matches before you start scoring.</t>
  </si>
  <si>
    <t xml:space="preserve">STEP 2</t>
  </si>
  <si>
    <t xml:space="preserve">Check the MATCH_BALANCE indicator in PLAYER_PROFILE.
You need: ≥2 matches vs top-third opposition | ≥1 away match | ≥1 match where team was losing.
Do not score until the balance check shows ✅ on all three.</t>
  </si>
  <si>
    <t xml:space="preserve">STEP 3</t>
  </si>
  <si>
    <t xml:space="preserve">Choose ONE metric to score across all 5 matches.
Open EVENT_LOG. Select the metric from the dropdown in column C.
Watch Match 1 entirely, logging only events relevant to that metric.
For each event: timestamp (MM:SS), brief description, quality score 1–10.</t>
  </si>
  <si>
    <t xml:space="preserve">STEP 4</t>
  </si>
  <si>
    <t xml:space="preserve">Repeat for Matches 2–5 with the same metric.
Then move to the next metric and repeat the entire pass.
Do not skip between metrics in the same session.</t>
  </si>
  <si>
    <t xml:space="preserve">STEP 5</t>
  </si>
  <si>
    <t xml:space="preserve">SCORES tab auto-calculates.
Sub-component averages → composite scores → FGA_v3_Video_Score.
Review the CONFIDENCE_FLAG column — scores with fewer than 3 events are flagged ⚠️.</t>
  </si>
  <si>
    <t xml:space="preserve">STEP 6</t>
  </si>
  <si>
    <t xml:space="preserve">Transfer final scores to Empire_FGA_Eredivisie_2025_2026_v3.0.xlsx
Tier 3 — Scout Metrics tab. Enter sub-component scores (e.g. OBI_T, OBI_S, OBI_P).
The workbook calculates OBI, SII and Video_Completeness automatically.</t>
  </si>
  <si>
    <t xml:space="preserve">MINIMUM SAMPLE RULE</t>
  </si>
  <si>
    <t xml:space="preserve">3 separate matches must show evidence of EACH sub-component before it can be scored.
If a sub-component has fewer than 3 qualifying events across 5 matches:
→ Mark as VIDEO_PENDING in the SCORES tab, do not enter a score.
→ Schedule 1–2 additional matches for that specific sub-component.</t>
  </si>
  <si>
    <t xml:space="preserve">SESSION STRUCTURE</t>
  </si>
  <si>
    <t xml:space="preserve">One metric pass ≈ 45 minutes per match.
Five matches × 45 min = 3h 45min per sub-metric.
OBI (3 sub-metrics) + SII (3 sub-metrics) = full physical + off-ball assessment in ~22 hours.
Plan 2–3 focused sessions per sub-metric. Never score while fatigued.</t>
  </si>
  <si>
    <t xml:space="preserve">CAMERA LIMITATION NOTE</t>
  </si>
  <si>
    <t xml:space="preserve">Pre-1985 footage: fixed cameras cut off far-side off-ball movement.
If OBI_S or OBI_T events on the blind side cannot be observed:
→ Log: 'Camera: blind side — unobservable' in the Notes column.
→ SCORES tab will flag partial camera coverage automatically if ≥30% of events carry this note.</t>
  </si>
  <si>
    <t xml:space="preserve">HALO EFFECT RULE</t>
  </si>
  <si>
    <t xml:space="preserve">Never adjust a score because of the player's reputation.
A poor decision is a poor decision for Johan Cruyff or a Belgian fourth-division midfielder.
The timestamp is your evidence. The rubric is your standard. Nothing else.</t>
  </si>
  <si>
    <t xml:space="preserve">LARS PILOT NOTE</t>
  </si>
  <si>
    <t xml:space="preserve">For the 20 Malmö academy players (14–16 year olds):
Lars's framework prioritises Mental Intensity, Physical Intensity, Coachability.
→ Mental Intensity maps to: OBI (off-ball reading), DMA (decision making), MCS
→ Physical Intensity maps to: SII (sprint intensity), SOA
→ Coachability maps to: COACH metric (separate rubric)
Start with OBI and SII for all 20 players. Add DMA and COACH second pass.</t>
  </si>
  <si>
    <t xml:space="preserve">EMPIRE FGA  |  PLAYER PROFILE &amp; MATCH REGISTER</t>
  </si>
  <si>
    <t xml:space="preserve">PLAYER INFORMATION</t>
  </si>
  <si>
    <t xml:space="preserve">Player Name</t>
  </si>
  <si>
    <t xml:space="preserve">Ronaldo de Assis Moreira "Ronaldinho Gaúcho"</t>
  </si>
  <si>
    <t xml:space="preserve">← Enter full name as it appears in the workbook</t>
  </si>
  <si>
    <t xml:space="preserve">Position</t>
  </si>
  <si>
    <t xml:space="preserve">Attacking Midfield / Left Wing</t>
  </si>
  <si>
    <t xml:space="preserve">← e.g. MF / FW / DF / GK</t>
  </si>
  <si>
    <t xml:space="preserve">Club (this season)</t>
  </si>
  <si>
    <t xml:space="preserve">Gremio FBPA</t>
  </si>
  <si>
    <t xml:space="preserve">League</t>
  </si>
  <si>
    <t xml:space="preserve">Continental — Copa Libertadores / Copa Mercosul (1998)</t>
  </si>
  <si>
    <t xml:space="preserve">← e.g. Eredivisie / Allsvenskan / Malmö FF U19</t>
  </si>
  <si>
    <t xml:space="preserve">Season</t>
  </si>
  <si>
    <t xml:space="preserve">Assessment Type</t>
  </si>
  <si>
    <t xml:space="preserve">TIER A</t>
  </si>
  <si>
    <t xml:space="preserve">← TIER A (full 13 metrics) / TIER B (OBI + SII only)</t>
  </si>
  <si>
    <t xml:space="preserve">Analyst Name</t>
  </si>
  <si>
    <t xml:space="preserve">Jim Totime</t>
  </si>
  <si>
    <t xml:space="preserve">← Person conducting the video assessment</t>
  </si>
  <si>
    <t xml:space="preserve">Date Started</t>
  </si>
  <si>
    <t xml:space="preserve">Date Completed</t>
  </si>
  <si>
    <t xml:space="preserve">GPS Context</t>
  </si>
  <si>
    <t xml:space="preserve">Yes</t>
  </si>
  <si>
    <t xml:space="preserve">← Paste relevant line from GPS_REFERENCE tab if available</t>
  </si>
  <si>
    <t xml:space="preserve">Selection Reason</t>
  </si>
  <si>
    <t xml:space="preserve">ESN Historical Pilot </t>
  </si>
  <si>
    <t xml:space="preserve">← Why was this player selected? Which prospect does this support?</t>
  </si>
  <si>
    <t xml:space="preserve">MATCH REGISTER  —  Minimum 5 matches required</t>
  </si>
  <si>
    <t xml:space="preserve">Match #</t>
  </si>
  <si>
    <t xml:space="preserve">Date</t>
  </si>
  <si>
    <t xml:space="preserve">Home / Away</t>
  </si>
  <si>
    <t xml:space="preserve">Opponent</t>
  </si>
  <si>
    <t xml:space="preserve">Result
(score)</t>
  </si>
  <si>
    <t xml:space="preserve">Team
Winning/Losing/Drawing</t>
  </si>
  <si>
    <t xml:space="preserve">Opposition
Tier (1=top / 3=bottom)</t>
  </si>
  <si>
    <t xml:space="preserve">Match 1</t>
  </si>
  <si>
    <t xml:space="preserve">Home</t>
  </si>
  <si>
    <t xml:space="preserve">Vasco</t>
  </si>
  <si>
    <t xml:space="preserve">Winning</t>
  </si>
  <si>
    <t xml:space="preserve">1 (Top third)</t>
  </si>
  <si>
    <t xml:space="preserve">RW</t>
  </si>
  <si>
    <t xml:space="preserve">Match 2</t>
  </si>
  <si>
    <t xml:space="preserve">Away</t>
  </si>
  <si>
    <t xml:space="preserve">Corinthians</t>
  </si>
  <si>
    <t xml:space="preserve">Losing</t>
  </si>
  <si>
    <t xml:space="preserve">Match 3</t>
  </si>
  <si>
    <t xml:space="preserve">Chivas</t>
  </si>
  <si>
    <t xml:space="preserve">2 (Middle third)</t>
  </si>
  <si>
    <t xml:space="preserve">Match 4</t>
  </si>
  <si>
    <t xml:space="preserve">Nacional</t>
  </si>
  <si>
    <t xml:space="preserve">Match 5</t>
  </si>
  <si>
    <t xml:space="preserve">Universidad Católica</t>
  </si>
  <si>
    <t xml:space="preserve">SS</t>
  </si>
  <si>
    <t xml:space="preserve">Match 6</t>
  </si>
  <si>
    <t xml:space="preserve">Santos</t>
  </si>
  <si>
    <t xml:space="preserve">Match 7</t>
  </si>
  <si>
    <t xml:space="preserve">América (MEX)</t>
  </si>
  <si>
    <t xml:space="preserve">Match 8</t>
  </si>
  <si>
    <t xml:space="preserve">Match 9</t>
  </si>
  <si>
    <t xml:space="preserve">Match 10</t>
  </si>
  <si>
    <t xml:space="preserve">MATCH BALANCE CHECK  —  Must pass all 3 before scoring begins</t>
  </si>
  <si>
    <t xml:space="preserve">≥2 matches vs top-third opposition</t>
  </si>
  <si>
    <t xml:space="preserve">≥1 away match</t>
  </si>
  <si>
    <t xml:space="preserve">≥1 match where team was losing</t>
  </si>
  <si>
    <t xml:space="preserve">Minimum 5 matches registered</t>
  </si>
  <si>
    <t xml:space="preserve">SCORING READINESS</t>
  </si>
  <si>
    <t xml:space="preserve">EMPIRE FGA  |  EVENT LOG  |  One metric pass at a time  —  Log every qualifying event with timestamp and quality score</t>
  </si>
  <si>
    <t xml:space="preserve">HOW TO USE: Select metric → Watch all 5 matches → Log one event per row. Quality 1–10: 10=textbook example from rubric, 1=barely qualifies as an event. Negative events (anti-indicators) score 1–4.</t>
  </si>
  <si>
    <t xml:space="preserve">#</t>
  </si>
  <si>
    <t xml:space="preserve">Match
#</t>
  </si>
  <si>
    <t xml:space="preserve">Metric
Code</t>
  </si>
  <si>
    <t xml:space="preserve">Timestamp
MM:SS</t>
  </si>
  <si>
    <t xml:space="preserve">Event Description  —  What exactly did the player do?</t>
  </si>
  <si>
    <t xml:space="preserve">Quality
1–10</t>
  </si>
  <si>
    <t xml:space="preserve">Event Type</t>
  </si>
  <si>
    <t xml:space="preserve">Camera
OK?</t>
  </si>
  <si>
    <t xml:space="preserve">Video Clip
Ref.</t>
  </si>
  <si>
    <t xml:space="preserve">▶  METRIC PASS 1  —  Select metric in column C and fill this pass before starting next</t>
  </si>
  <si>
    <t xml:space="preserve">CHR</t>
  </si>
  <si>
    <t xml:space="preserve">78'50</t>
  </si>
  <si>
    <t xml:space="preserve">Barely entered on the pitch he claim the ball and cross</t>
  </si>
  <si>
    <t xml:space="preserve">Positive indicator</t>
  </si>
  <si>
    <t xml:space="preserve">LCR</t>
  </si>
  <si>
    <t xml:space="preserve">DMA</t>
  </si>
  <si>
    <t xml:space="preserve">SII_A</t>
  </si>
  <si>
    <t xml:space="preserve">82'47</t>
  </si>
  <si>
    <t xml:space="preserve">High speed, create the 1-2 but can't catch the ball</t>
  </si>
  <si>
    <t xml:space="preserve">OBI_S</t>
  </si>
  <si>
    <t xml:space="preserve">DYN</t>
  </si>
  <si>
    <t xml:space="preserve">SII_R</t>
  </si>
  <si>
    <t xml:space="preserve">SOA</t>
  </si>
  <si>
    <t xml:space="preserve">90'13</t>
  </si>
  <si>
    <t xml:space="preserve">Dribbling and foul submitted</t>
  </si>
  <si>
    <t xml:space="preserve">DRB</t>
  </si>
  <si>
    <t xml:space="preserve">MCS</t>
  </si>
  <si>
    <t xml:space="preserve">90'49</t>
  </si>
  <si>
    <t xml:space="preserve">Despite his young age, he takes the ball to kick himself the free kick but completely missed</t>
  </si>
  <si>
    <t xml:space="preserve">STK</t>
  </si>
  <si>
    <t xml:space="preserve">CRK</t>
  </si>
  <si>
    <t xml:space="preserve">8'52</t>
  </si>
  <si>
    <t xml:space="preserve">Excellent free kick and the header of his team mate ends on the bar</t>
  </si>
  <si>
    <t xml:space="preserve">9.5</t>
  </si>
  <si>
    <t xml:space="preserve">KEY</t>
  </si>
  <si>
    <t xml:space="preserve">8'53</t>
  </si>
  <si>
    <t xml:space="preserve">OBI_T</t>
  </si>
  <si>
    <t xml:space="preserve">2'50</t>
  </si>
  <si>
    <t xml:space="preserve">Wrong run timing and ball lost</t>
  </si>
  <si>
    <t xml:space="preserve">REA</t>
  </si>
  <si>
    <t xml:space="preserve">▶  METRIC PASS 2</t>
  </si>
  <si>
    <t xml:space="preserve">2'55</t>
  </si>
  <si>
    <t xml:space="preserve">Excellent game reading and ball recovery</t>
  </si>
  <si>
    <t xml:space="preserve">INT</t>
  </si>
  <si>
    <t xml:space="preserve">9'32</t>
  </si>
  <si>
    <t xml:space="preserve">Spectacle made, sombrero and drive the ball by header and shot but totally wide. Pure joga bonito</t>
  </si>
  <si>
    <t xml:space="preserve">15'16</t>
  </si>
  <si>
    <t xml:space="preserve">Not good movement to create space</t>
  </si>
  <si>
    <t xml:space="preserve">SPI</t>
  </si>
  <si>
    <t xml:space="preserve">15'54</t>
  </si>
  <si>
    <t xml:space="preserve">Excellent body movement to get past his opponent on the right and cross deflected by Mauro Galvão. Corner</t>
  </si>
  <si>
    <t xml:space="preserve">BDY</t>
  </si>
  <si>
    <t xml:space="preserve">CAR</t>
  </si>
  <si>
    <t xml:space="preserve">SII_T</t>
  </si>
  <si>
    <t xml:space="preserve">16'22</t>
  </si>
  <si>
    <t xml:space="preserve">Excellent corner kick taken, but the heading is not a target</t>
  </si>
  <si>
    <t xml:space="preserve">CSA</t>
  </si>
  <si>
    <t xml:space="preserve">20'11</t>
  </si>
  <si>
    <t xml:space="preserve">Very good reaction to comes first on the ball and turn around dribbling and progressive pass</t>
  </si>
  <si>
    <t xml:space="preserve">▶  METRIC PASS 3</t>
  </si>
  <si>
    <t xml:space="preserve">VRP</t>
  </si>
  <si>
    <t xml:space="preserve">23'34</t>
  </si>
  <si>
    <t xml:space="preserve">Direct free kick wide</t>
  </si>
  <si>
    <t xml:space="preserve">24'05</t>
  </si>
  <si>
    <t xml:space="preserve">Very good execution speed</t>
  </si>
  <si>
    <t xml:space="preserve">27'02</t>
  </si>
  <si>
    <t xml:space="preserve">Excellent ball first touch and explosive acceleration to dribble and go way for Nasa defence and Nasa has to make foul to stop him. Yellow card</t>
  </si>
  <si>
    <t xml:space="preserve">Direct free kick wide but nearest of the target</t>
  </si>
  <si>
    <t xml:space="preserve">6.5</t>
  </si>
  <si>
    <t xml:space="preserve">OMS</t>
  </si>
  <si>
    <t xml:space="preserve">38'43</t>
  </si>
  <si>
    <t xml:space="preserve">Good defensive transition but to shy to put the aggressivity required to recover the ball</t>
  </si>
  <si>
    <t xml:space="preserve">▶  METRIC PASS 4</t>
  </si>
  <si>
    <t xml:space="preserve">OBI_P</t>
  </si>
  <si>
    <t xml:space="preserve">41'01</t>
  </si>
  <si>
    <t xml:space="preserve">Excellent chest control but can't go forward with the ball, blocked by Odvan but good reaction and high pressing on Odvan and he send the ball out. Dangerous throw-in for</t>
  </si>
  <si>
    <t xml:space="preserve">44'41</t>
  </si>
  <si>
    <t xml:space="preserve">Chest control, turn around nutmeg dribbling. Joga bonito style</t>
  </si>
  <si>
    <t xml:space="preserve">52'47</t>
  </si>
  <si>
    <t xml:space="preserve">Good physical duel won vs Luisinho but referee whistled. Foul against</t>
  </si>
  <si>
    <t xml:space="preserve">53'30</t>
  </si>
  <si>
    <t xml:space="preserve">Ball carries and ball driving changement of direction</t>
  </si>
  <si>
    <t xml:space="preserve">55'02</t>
  </si>
  <si>
    <t xml:space="preserve">Through pass successful</t>
  </si>
  <si>
    <t xml:space="preserve">55'03</t>
  </si>
  <si>
    <t xml:space="preserve">SMP</t>
  </si>
  <si>
    <t xml:space="preserve">55'04</t>
  </si>
  <si>
    <t xml:space="preserve">56'15</t>
  </si>
  <si>
    <t xml:space="preserve">Free kick totally missed</t>
  </si>
  <si>
    <t xml:space="preserve">▶  METRIC PASS 5</t>
  </si>
  <si>
    <t xml:space="preserve">56'27</t>
  </si>
  <si>
    <t xml:space="preserve">Aerial duel won</t>
  </si>
  <si>
    <t xml:space="preserve">ACI</t>
  </si>
  <si>
    <t xml:space="preserve">JMP</t>
  </si>
  <si>
    <t xml:space="preserve">58'02</t>
  </si>
  <si>
    <t xml:space="preserve">Wrong control and he tries after to dribble, he loose the ball and make an awful tackle. Foul committed and yellow card</t>
  </si>
  <si>
    <t xml:space="preserve">CLM</t>
  </si>
  <si>
    <t xml:space="preserve">TAC</t>
  </si>
  <si>
    <t xml:space="preserve">58'47</t>
  </si>
  <si>
    <t xml:space="preserve">Too weak to win his physical duel</t>
  </si>
  <si>
    <t xml:space="preserve">58'48</t>
  </si>
  <si>
    <t xml:space="preserve">HZP</t>
  </si>
  <si>
    <t xml:space="preserve">64'23</t>
  </si>
  <si>
    <t xml:space="preserve">Lateral pass for Maurílio Silva</t>
  </si>
  <si>
    <t xml:space="preserve">65'15</t>
  </si>
  <si>
    <t xml:space="preserve">Corner kick taken second post</t>
  </si>
  <si>
    <t xml:space="preserve">7.5</t>
  </si>
  <si>
    <t xml:space="preserve">66'02</t>
  </si>
  <si>
    <t xml:space="preserve">1 v 1 Step over dribbling unsuccessful</t>
  </si>
  <si>
    <t xml:space="preserve">67'12</t>
  </si>
  <si>
    <t xml:space="preserve">Excellent run timing to comes first on the ball and start to carrying the ball dribbling defenders before one of them makes a hard obstruction. Foul submitted</t>
  </si>
  <si>
    <t xml:space="preserve">▶  METRIC PASS 6</t>
  </si>
  <si>
    <t xml:space="preserve">68'04</t>
  </si>
  <si>
    <t xml:space="preserve">He takes himself the free kick. ~30 meters of the goal, magnifique free kick ending on the crossbar</t>
  </si>
  <si>
    <t xml:space="preserve">CRS</t>
  </si>
  <si>
    <t xml:space="preserve">68'28</t>
  </si>
  <si>
    <t xml:space="preserve">Corner kick taken first post </t>
  </si>
  <si>
    <t xml:space="preserve">68'44</t>
  </si>
  <si>
    <t xml:space="preserve">Excellent corner kick taken for a heading goal of Guilherme</t>
  </si>
  <si>
    <t xml:space="preserve">MRK</t>
  </si>
  <si>
    <t xml:space="preserve">76'20</t>
  </si>
  <si>
    <t xml:space="preserve">Good m,arking but referee whistled for obstruction</t>
  </si>
  <si>
    <t xml:space="preserve">80'55</t>
  </si>
  <si>
    <t xml:space="preserve">Ball carries on the right flank</t>
  </si>
  <si>
    <t xml:space="preserve">84'34</t>
  </si>
  <si>
    <t xml:space="preserve">Through pass successful and explosive acceleration as ghost run to reach as faster possible in the area since his own half </t>
  </si>
  <si>
    <t xml:space="preserve">85'50</t>
  </si>
  <si>
    <t xml:space="preserve">Receive the ball, juggling and quick turn around dribbling and start to carryinge the ball sinc his own half until the opponent area, fighting with Pedrinho and fall but no penalty</t>
  </si>
  <si>
    <t xml:space="preserve">92'04</t>
  </si>
  <si>
    <t xml:space="preserve">Slalom dribbling of 3 defenders but lost the ball due to bad ball driving</t>
  </si>
  <si>
    <t xml:space="preserve">▶  METRIC PASS 7  —  Select metric in column C and fill this pass before starting next</t>
  </si>
  <si>
    <t xml:space="preserve">2'03</t>
  </si>
  <si>
    <t xml:space="preserve">Explosive player, he succeed to touch the ball first due to goo run timing and explosive acceleration</t>
  </si>
  <si>
    <t xml:space="preserve">5'13</t>
  </si>
  <si>
    <t xml:space="preserve">Tremendous ghost run to comes at the same line of Goiano</t>
  </si>
  <si>
    <t xml:space="preserve">9'09</t>
  </si>
  <si>
    <t xml:space="preserve">Try to penetrate with the ball in the heart of the defence but he don't. He feels afraid of nobody and nowhere</t>
  </si>
  <si>
    <t xml:space="preserve">9'18</t>
  </si>
  <si>
    <t xml:space="preserve">Try a turn around dribbling but miss a little bit his control, he takes advantage of the tight marking of Parraguez to fall on the floor. Foul submitted. 18 years old but he knows already all tricks and tips to play at high level</t>
  </si>
  <si>
    <t xml:space="preserve">12'39</t>
  </si>
  <si>
    <t xml:space="preserve">He enters to the area in by a double contact dribbling inside/outside foot, and dribble a third opponent before shot and good save of Tapia, the ball comes in the foot of Ze Afonso who misss the ball in front an empty goal</t>
  </si>
  <si>
    <t xml:space="preserve">13'40</t>
  </si>
  <si>
    <t xml:space="preserve">Good ghost run and dribbling</t>
  </si>
  <si>
    <t xml:space="preserve">17'03</t>
  </si>
  <si>
    <t xml:space="preserve">Pure Joga Bonito, Ronaldo Assis Show (former nickname). Nearby the touchline fixing Ormozabal, step over dribbling and foul submitted</t>
  </si>
  <si>
    <t xml:space="preserve">19'45</t>
  </si>
  <si>
    <t xml:space="preserve">Bad decision to play himself instead a 1-2 with Valmir and loos the ball</t>
  </si>
  <si>
    <t xml:space="preserve">25'07</t>
  </si>
  <si>
    <t xml:space="preserve">Slalom dribbling and foul submitted</t>
  </si>
  <si>
    <t xml:space="preserve">29'10</t>
  </si>
  <si>
    <t xml:space="preserve">Excellent defensive transition and ball recovery</t>
  </si>
  <si>
    <t xml:space="preserve">30'55</t>
  </si>
  <si>
    <t xml:space="preserve">Free kick taken as a mini corner position and just puts the ball down on the head of Scheidt. Goal</t>
  </si>
  <si>
    <t xml:space="preserve">LGP</t>
  </si>
  <si>
    <t xml:space="preserve">32'33</t>
  </si>
  <si>
    <t xml:space="preserve">Ghost run but ball lost by his team, he has a good positioning to block the clearance of the defender and high speed to positionining him to the block</t>
  </si>
  <si>
    <t xml:space="preserve">8.5</t>
  </si>
  <si>
    <t xml:space="preserve">37'20</t>
  </si>
  <si>
    <t xml:space="preserve">Dribbling series in the opponent area but the ball go way out of the line due to a dribble too long to beat the keeper Tapia</t>
  </si>
  <si>
    <t xml:space="preserve">40'42</t>
  </si>
  <si>
    <t xml:space="preserve">Through pass for Valmir</t>
  </si>
  <si>
    <t xml:space="preserve">45'01</t>
  </si>
  <si>
    <t xml:space="preserve">Goal on penalty kick</t>
  </si>
  <si>
    <t xml:space="preserve">RDS</t>
  </si>
  <si>
    <t xml:space="preserve">11'49</t>
  </si>
  <si>
    <t xml:space="preserve">Excellent aerial blackheel to Tinga</t>
  </si>
  <si>
    <t xml:space="preserve">OTP</t>
  </si>
  <si>
    <t xml:space="preserve">UNP</t>
  </si>
  <si>
    <t xml:space="preserve">ART</t>
  </si>
  <si>
    <t xml:space="preserve">14'56</t>
  </si>
  <si>
    <t xml:space="preserve">Start a counter attack</t>
  </si>
  <si>
    <t xml:space="preserve">16'35</t>
  </si>
  <si>
    <t xml:space="preserve">Comes first on the ball in the duel as often, clearance on the leg to get a throw in</t>
  </si>
  <si>
    <t xml:space="preserve">19'29</t>
  </si>
  <si>
    <t xml:space="preserve">Free kick taken as a mini corner position to a second post</t>
  </si>
  <si>
    <t xml:space="preserve">23'06</t>
  </si>
  <si>
    <t xml:space="preserve">One touch pass with his chest</t>
  </si>
  <si>
    <t xml:space="preserve">26'57</t>
  </si>
  <si>
    <t xml:space="preserve">Good dribbling and diagonal pass but not accurate</t>
  </si>
  <si>
    <t xml:space="preserve">DGP</t>
  </si>
  <si>
    <t xml:space="preserve">29'11</t>
  </si>
  <si>
    <t xml:space="preserve">Ball carries andprogressive pass</t>
  </si>
  <si>
    <t xml:space="preserve">TOU</t>
  </si>
  <si>
    <t xml:space="preserve">31'20</t>
  </si>
  <si>
    <t xml:space="preserve">Playmaker mode, elegant lateral pass for Darío, Darío pass him again and Ronaldinho make a perfect through pass as 1-2</t>
  </si>
  <si>
    <t xml:space="preserve">ELE</t>
  </si>
  <si>
    <t xml:space="preserve">31'21</t>
  </si>
  <si>
    <t xml:space="preserve">31'22</t>
  </si>
  <si>
    <t xml:space="preserve">6'22</t>
  </si>
  <si>
    <t xml:space="preserve">Corner kick taken very dangerous but blocked by defence</t>
  </si>
  <si>
    <t xml:space="preserve">10'00</t>
  </si>
  <si>
    <t xml:space="preserve">Good run timing, keep ball possession</t>
  </si>
  <si>
    <t xml:space="preserve">18'52</t>
  </si>
  <si>
    <t xml:space="preserve">In defensive midfield position to make playmaking with Ronaldo and Scheidt</t>
  </si>
  <si>
    <t xml:space="preserve">19'03</t>
  </si>
  <si>
    <t xml:space="preserve">Excellent vertical pass</t>
  </si>
  <si>
    <t xml:space="preserve">20'45</t>
  </si>
  <si>
    <t xml:space="preserve">Free  kick given and dangerous cross that find the head of Guilherme</t>
  </si>
  <si>
    <t xml:space="preserve">22'53</t>
  </si>
  <si>
    <t xml:space="preserve">Good defensive transition</t>
  </si>
  <si>
    <t xml:space="preserve">36'15</t>
  </si>
  <si>
    <t xml:space="preserve">Good pressing, ball recovery and 1-2 with Coelho to start a counter attack</t>
  </si>
  <si>
    <t xml:space="preserve">40'33</t>
  </si>
  <si>
    <t xml:space="preserve">Quick play lateral pass for Roger</t>
  </si>
  <si>
    <t xml:space="preserve">42'37</t>
  </si>
  <si>
    <t xml:space="preserve">Excellent ball carries despite two defenders on tight marking and stay focus to make the right decision and keep the ball possession</t>
  </si>
  <si>
    <t xml:space="preserve">43'46</t>
  </si>
  <si>
    <t xml:space="preserve">Diagonal pass successful</t>
  </si>
  <si>
    <t xml:space="preserve">44'18</t>
  </si>
  <si>
    <t xml:space="preserve">1 v 1 def unsuccessful. He miss his tackle</t>
  </si>
  <si>
    <t xml:space="preserve">48'38</t>
  </si>
  <si>
    <t xml:space="preserve">Excellent slalom dribbling between 3 defenders in the axis and foul submitted</t>
  </si>
  <si>
    <t xml:space="preserve">49'39</t>
  </si>
  <si>
    <t xml:space="preserve">Direct free kick but not dangerous</t>
  </si>
  <si>
    <t xml:space="preserve">One touch pass for Roger</t>
  </si>
  <si>
    <t xml:space="preserve">56'16</t>
  </si>
  <si>
    <t xml:space="preserve">70'08</t>
  </si>
  <si>
    <t xml:space="preserve">Can't stop Guigou</t>
  </si>
  <si>
    <t xml:space="preserve">52'08</t>
  </si>
  <si>
    <t xml:space="preserve">Long shot goal. Pure shot in the corner. 1-0</t>
  </si>
  <si>
    <t xml:space="preserve">34'12</t>
  </si>
  <si>
    <t xml:space="preserve">EMPIRE FGA  |  SCORES  —  Auto-calculated from EVENT_LOG  |  Review confidence flags before transferring</t>
  </si>
  <si>
    <t xml:space="preserve">Player: → check PLAYER_PROFILE tab  |  Scores below auto-average quality ratings from EVENT_LOG. ⚠️ flag = fewer than 3 events logged (VIDEO_PENDING). Transfer to Tier 3 — Scout Metrics ONLY when confidence = ✅</t>
  </si>
  <si>
    <t xml:space="preserve">Player:</t>
  </si>
  <si>
    <t xml:space="preserve">OBI — Off-Ball Intelligence</t>
  </si>
  <si>
    <t xml:space="preserve">Sub-Metric</t>
  </si>
  <si>
    <t xml:space="preserve">Weight</t>
  </si>
  <si>
    <t xml:space="preserve">Events
Logged</t>
  </si>
  <si>
    <t xml:space="preserve">Events
(+ve)</t>
  </si>
  <si>
    <t xml:space="preserve">Events
(-ve)</t>
  </si>
  <si>
    <t xml:space="preserve">Raw
Avg</t>
  </si>
  <si>
    <t xml:space="preserve">SCORE
0–10</t>
  </si>
  <si>
    <t xml:space="preserve">Confidence</t>
  </si>
  <si>
    <t xml:space="preserve">Transfer Note</t>
  </si>
  <si>
    <t xml:space="preserve">Distinct
Matches</t>
  </si>
  <si>
    <t xml:space="preserve">OBI_T — Run Timing</t>
  </si>
  <si>
    <t xml:space="preserve">35%</t>
  </si>
  <si>
    <t xml:space="preserve">→ Tier 3 col OBI_T</t>
  </si>
  <si>
    <t xml:space="preserve">OBI_S — Space Architecture</t>
  </si>
  <si>
    <t xml:space="preserve">→ Tier 3 col OBI_S</t>
  </si>
  <si>
    <t xml:space="preserve">OBI_P — Positional Anticipation</t>
  </si>
  <si>
    <t xml:space="preserve">30%</t>
  </si>
  <si>
    <t xml:space="preserve">→ Tier 3 col OBI_P</t>
  </si>
  <si>
    <t xml:space="preserve">OBI COMPOSITE</t>
  </si>
  <si>
    <t xml:space="preserve">(T×0.35)+(S×0.35)+(P×0.30)</t>
  </si>
  <si>
    <t xml:space="preserve">→ Tier 3 col OBI  (auto-calculates from sub-scores in workbook)</t>
  </si>
  <si>
    <t xml:space="preserve">SII — Sprint Intensity Index  (replaces SPR_LEGACY)</t>
  </si>
  <si>
    <t xml:space="preserve">SII_A — Explosive Acceleration</t>
  </si>
  <si>
    <t xml:space="preserve">40%</t>
  </si>
  <si>
    <t xml:space="preserve">→ Tier 3 col SII_A</t>
  </si>
  <si>
    <t xml:space="preserve">SII_T — Top-End Speed Relative</t>
  </si>
  <si>
    <t xml:space="preserve">→ Tier 3 col SII_T</t>
  </si>
  <si>
    <t xml:space="preserve">SII_R — Recovery Sprint Frequency</t>
  </si>
  <si>
    <t xml:space="preserve">25%</t>
  </si>
  <si>
    <t xml:space="preserve">→ Tier 3 col SII_R</t>
  </si>
  <si>
    <t xml:space="preserve">SII COMPOSITE</t>
  </si>
  <si>
    <t xml:space="preserve">(A×0.40)+(T×0.35)+(R×0.25)</t>
  </si>
  <si>
    <t xml:space="preserve">→ Tier 3 col SII  (auto-calculates from sub-scores in workbook)</t>
  </si>
  <si>
    <t xml:space="preserve">REMAINING VIDEO METRICS  —  Full 13-metric assessment (Tier A players)</t>
  </si>
  <si>
    <t xml:space="preserve">DMA — Decision Making</t>
  </si>
  <si>
    <t xml:space="preserve">—</t>
  </si>
  <si>
    <t xml:space="preserve">→ Tier 3 col DMA</t>
  </si>
  <si>
    <t xml:space="preserve">CHR — Character</t>
  </si>
  <si>
    <t xml:space="preserve">→ Tier 3 col CHR</t>
  </si>
  <si>
    <t xml:space="preserve">MCS — Mental Competence Score</t>
  </si>
  <si>
    <t xml:space="preserve">→ Tier 3 col MCS</t>
  </si>
  <si>
    <t xml:space="preserve">SOA — Speed on Action</t>
  </si>
  <si>
    <t xml:space="preserve">→ Tier 3 col SOA</t>
  </si>
  <si>
    <t xml:space="preserve">SPI — Spatial Performance Index</t>
  </si>
  <si>
    <t xml:space="preserve">→ Tier 3 col SPI</t>
  </si>
  <si>
    <t xml:space="preserve">CLM — Calmness</t>
  </si>
  <si>
    <t xml:space="preserve">→ Tier 3 col CLM</t>
  </si>
  <si>
    <t xml:space="preserve">CRS — Clutch Response Score</t>
  </si>
  <si>
    <t xml:space="preserve">→ Tier 3 col CRS</t>
  </si>
  <si>
    <t xml:space="preserve">OMS — Omschakeling / Transition</t>
  </si>
  <si>
    <t xml:space="preserve">→ Tier 3 col OMS</t>
  </si>
  <si>
    <t xml:space="preserve">DYN — Dynamism</t>
  </si>
  <si>
    <t xml:space="preserve">→ Tier 3 col DYN</t>
  </si>
  <si>
    <t xml:space="preserve">CRK — Creative Risk Taking</t>
  </si>
  <si>
    <t xml:space="preserve">→ Tier 3 col CRK</t>
  </si>
  <si>
    <t xml:space="preserve">VIDEO COMPLETENESS (of 12 core metrics: OBI composite + SII composite + 10 named subs)</t>
  </si>
  <si>
    <t xml:space="preserve">PHILOSOPHY-FIT PRIORITY METRICS  —  9 new (Aug 2026), required by the philosophy-fit formulas</t>
  </si>
  <si>
    <t xml:space="preserve">KEY — Key Passes</t>
  </si>
  <si>
    <t xml:space="preserve">STK — Shot Technique</t>
  </si>
  <si>
    <t xml:space="preserve">LGP — Long Pass Precision</t>
  </si>
  <si>
    <t xml:space="preserve">VRP — Vertical Pass</t>
  </si>
  <si>
    <t xml:space="preserve">HZP — Horizontal Pass</t>
  </si>
  <si>
    <t xml:space="preserve">DRB — Dribbling Success Rate</t>
  </si>
  <si>
    <t xml:space="preserve">CAR — Ball Carries</t>
  </si>
  <si>
    <t xml:space="preserve">INT — Interceptions</t>
  </si>
  <si>
    <t xml:space="preserve">TAC — Tackling</t>
  </si>
  <si>
    <t xml:space="preserve">ADDITIONAL FOUNDATION METRICS — 5 new (Aug 2026), Section 1 codes previously missing from the dropdown</t>
  </si>
  <si>
    <t xml:space="preserve">RDS — Renard des Surfaces</t>
  </si>
  <si>
    <t xml:space="preserve">→ Tier 3 col RDS</t>
  </si>
  <si>
    <t xml:space="preserve">UNP — Unexpected Pass</t>
  </si>
  <si>
    <t xml:space="preserve">→ Tier 3 col UNP</t>
  </si>
  <si>
    <t xml:space="preserve">DGP — Diagonal Pass</t>
  </si>
  <si>
    <t xml:space="preserve">→ Tier 3 col DGP</t>
  </si>
  <si>
    <t xml:space="preserve">MRK — Marking Quality</t>
  </si>
  <si>
    <t xml:space="preserve">→ Tier 3 col MRK</t>
  </si>
  <si>
    <t xml:space="preserve">OTP — One Touch Pass</t>
  </si>
  <si>
    <t xml:space="preserve">→ Tier 3 col OTP</t>
  </si>
  <si>
    <t xml:space="preserve">EMPIRE FGA  |  RUBRIC QUICK REFERENCE  —  Full rubrics in: Empire_FGA_OBI_SII_Rubric_Framework_v1.0.docx  |  This sheet: condensed scoring anchors for field use</t>
  </si>
  <si>
    <t xml:space="preserve">Code</t>
  </si>
  <si>
    <t xml:space="preserve">Metric</t>
  </si>
  <si>
    <t xml:space="preserve">Score 8–10 (Elite indicator)</t>
  </si>
  <si>
    <t xml:space="preserve">Score 4–5 (Average indicator)</t>
  </si>
  <si>
    <t xml:space="preserve">Anti-indicators (score 1–3)</t>
  </si>
  <si>
    <t xml:space="preserve">Space Architecture</t>
  </si>
  <si>
    <t xml:space="preserve">Run creates measurable space for teammates even without personal reception. ≥2 such runs per half.</t>
  </si>
  <si>
    <t xml:space="preserve">Run creates passing lane but primarily benefits the player themselves.</t>
  </si>
  <si>
    <t xml:space="preserve">No evident effect on defensive shape. Player moves for themselves only.</t>
  </si>
  <si>
    <t xml:space="preserve">Positional Anticipation</t>
  </si>
  <si>
    <t xml:space="preserve">Already in dangerous position 2+ seconds before ball arrives. Looks unhurried, never scrambling.</t>
  </si>
  <si>
    <t xml:space="preserve">Arrives in position as ball arrives. Correct area, correct moment — but not ahead of play.</t>
  </si>
  <si>
    <t xml:space="preserve">Late to position consistently. Receives in non-threatening area. Reacts rather than anticipates.</t>
  </si>
  <si>
    <t xml:space="preserve">SII — Sprint Intensity Index</t>
  </si>
  <si>
    <t xml:space="preserve">Top-End Speed Relative</t>
  </si>
  <si>
    <t xml:space="preserve">Visibly reaches higher speed than all opponents in same frame. Gap grows in open space.</t>
  </si>
  <si>
    <t xml:space="preserve">Matches pace with opponents. Neither clearly faster nor slower than average.</t>
  </si>
  <si>
    <t xml:space="preserve">Regularly matched or beaten at top end. Opponents deliberately exploit this in transitions.</t>
  </si>
  <si>
    <t xml:space="preserve">Recovery Sprint Frequency</t>
  </si>
  <si>
    <t xml:space="preserve">≥5 full recovery sprints per half. Systematic — every transition triggers a sprint.</t>
  </si>
  <si>
    <t xml:space="preserve">1–2 recovery sprints per half. Selective — sprints when high-value opportunity.</t>
  </si>
  <si>
    <t xml:space="preserve">Near-zero recovery sprints. Jogs or walks in transition. Opponents exploit this repeatedly.</t>
  </si>
  <si>
    <t xml:space="preserve">Remaining Video Metrics</t>
  </si>
  <si>
    <t xml:space="preserve">Character</t>
  </si>
  <si>
    <t xml:space="preserve">Responds positively to adversity. Body language strong after errors. Organises teammates.</t>
  </si>
  <si>
    <t xml:space="preserve">Neither inspires nor deflates teammates. Neutral presence after difficulty.</t>
  </si>
  <si>
    <t xml:space="preserve">Visible negative reaction to errors. Gestures/body language affect teammates negatively.</t>
  </si>
  <si>
    <t xml:space="preserve">Mental Competence Score</t>
  </si>
  <si>
    <t xml:space="preserve">Maintains performance level in high-stakes moments. No performance drop under pressure.</t>
  </si>
  <si>
    <t xml:space="preserve">Slight performance drop under pressure but recovers. Not a liability.</t>
  </si>
  <si>
    <t xml:space="preserve">Significant visible deterioration under pressure. Avoids ball in difficult moments.</t>
  </si>
  <si>
    <t xml:space="preserve">Speed on Action</t>
  </si>
  <si>
    <t xml:space="preserve">First touch and subsequent action within 0.5 sec of receiving. Always ahead of opponents.</t>
  </si>
  <si>
    <t xml:space="preserve">1-2 second response. Functional but predictable.</t>
  </si>
  <si>
    <t xml:space="preserve">Slow first touch regularly enables opponents to close. Often bypassed in transitions.</t>
  </si>
  <si>
    <t xml:space="preserve">Spatial Performance Index</t>
  </si>
  <si>
    <t xml:space="preserve">Consistently occupies spaces between defensive lines. Creates 2v1 situations through positioning.</t>
  </si>
  <si>
    <t xml:space="preserve">Finds pockets of space but does not create overloads systematically.</t>
  </si>
  <si>
    <t xml:space="preserve">Positional choices predictable. Opponents pre-position to cover. Creates no spatial advantage.</t>
  </si>
  <si>
    <t xml:space="preserve">Calmness</t>
  </si>
  <si>
    <t xml:space="preserve">Performance unaffected by crowd noise, fouls, scoreline, referee decisions.</t>
  </si>
  <si>
    <t xml:space="preserve">Occasional visible frustration but recovers quickly. Does not affect performance.</t>
  </si>
  <si>
    <t xml:space="preserve">Regular loss of composure. Retaliates to fouls. Performance drops after referee decisions.</t>
  </si>
  <si>
    <t xml:space="preserve">Clutch Response Score</t>
  </si>
  <si>
    <t xml:space="preserve">Performance measurably improves in final 10 mins or decisive moments. Steps up visibly.</t>
  </si>
  <si>
    <t xml:space="preserve">Performance consistent — neither rises nor falls in clutch moments.</t>
  </si>
  <si>
    <t xml:space="preserve">Visible performance deterioration in decisive moments. Avoids responsibility.</t>
  </si>
  <si>
    <t xml:space="preserve">Transition (Omschakeling)</t>
  </si>
  <si>
    <t xml:space="preserve">First 3 steps in attack-to-defence or defence-to-attack transition within 1 second of possession change.</t>
  </si>
  <si>
    <t xml:space="preserve">Transitions within 2-3 seconds. Functional but gives opponents time to organise.</t>
  </si>
  <si>
    <t xml:space="preserve">Slow to recognise possession change. Regularly caught out of position in transitions.</t>
  </si>
  <si>
    <t xml:space="preserve">Dynamism</t>
  </si>
  <si>
    <t xml:space="preserve">Occupies ≥3 different positional zones per match effectively. Tactical switching is intentional.</t>
  </si>
  <si>
    <t xml:space="preserve">Plays primarily in 1-2 zones. Some flexibility but primarily positional.</t>
  </si>
  <si>
    <t xml:space="preserve">Rigid positioning. Rarely leaves designated zone. Opponents can plan around their static location.</t>
  </si>
  <si>
    <t xml:space="preserve">Creative Risk Taking</t>
  </si>
  <si>
    <t xml:space="preserve">Attempts innovative solutions to defensive problems. ≥2 per match. Risk is calculated not reckless.</t>
  </si>
  <si>
    <t xml:space="preserve">Occasional creative attempt but defaults to safe option when pressed.</t>
  </si>
  <si>
    <t xml:space="preserve">Always chooses safe option. No creative attempts. Predictable under pressure.</t>
  </si>
  <si>
    <t xml:space="preserve">PUNCH LIST  —  Log issues during assessment. Fix on Friday only. Never interrupt a scoring session to fix.</t>
  </si>
  <si>
    <t xml:space="preserve">Player</t>
  </si>
  <si>
    <t xml:space="preserve">Issue / What Broke</t>
  </si>
  <si>
    <t xml:space="preserve">Proposed Fix</t>
  </si>
  <si>
    <t xml:space="preserve">Priority</t>
  </si>
</sst>
</file>

<file path=xl/styles.xml><?xml version="1.0" encoding="utf-8"?>
<styleSheet xmlns="http://schemas.openxmlformats.org/spreadsheetml/2006/main">
  <numFmts count="6">
    <numFmt numFmtId="164" formatCode="General"/>
    <numFmt numFmtId="165" formatCode="m/d/yyyy"/>
    <numFmt numFmtId="166" formatCode="d\-mmm\-yy"/>
    <numFmt numFmtId="167" formatCode="0.00"/>
    <numFmt numFmtId="168" formatCode="0.0"/>
    <numFmt numFmtId="169" formatCode="0"/>
  </numFmts>
  <fonts count="36">
    <font>
      <sz val="11"/>
      <color theme="1"/>
      <name val="Calibri"/>
      <family val="2"/>
      <charset val="1"/>
    </font>
    <font>
      <sz val="10"/>
      <name val="Arial"/>
      <family val="0"/>
    </font>
    <font>
      <sz val="10"/>
      <name val="Arial"/>
      <family val="0"/>
    </font>
    <font>
      <sz val="10"/>
      <name val="Arial"/>
      <family val="0"/>
    </font>
    <font>
      <b val="true"/>
      <sz val="13"/>
      <color rgb="FFB8860B"/>
      <name val="Arial"/>
      <family val="2"/>
      <charset val="1"/>
    </font>
    <font>
      <i val="true"/>
      <sz val="9"/>
      <color rgb="FFF5E6C8"/>
      <name val="Arial"/>
      <family val="2"/>
      <charset val="1"/>
    </font>
    <font>
      <b val="true"/>
      <sz val="9"/>
      <color rgb="FF1A2644"/>
      <name val="Arial"/>
      <family val="2"/>
      <charset val="1"/>
    </font>
    <font>
      <sz val="9"/>
      <color rgb="FF0D0D0D"/>
      <name val="Arial"/>
      <family val="2"/>
      <charset val="1"/>
    </font>
    <font>
      <b val="true"/>
      <sz val="12"/>
      <color rgb="FFB8860B"/>
      <name val="Arial"/>
      <family val="2"/>
      <charset val="1"/>
    </font>
    <font>
      <b val="true"/>
      <sz val="9"/>
      <color rgb="FFFFFFFF"/>
      <name val="Arial"/>
      <family val="2"/>
      <charset val="1"/>
    </font>
    <font>
      <i val="true"/>
      <sz val="8"/>
      <color rgb="FF4A4A4A"/>
      <name val="Arial"/>
      <family val="2"/>
      <charset val="1"/>
    </font>
    <font>
      <b val="true"/>
      <sz val="8"/>
      <color rgb="FFFFFFFF"/>
      <name val="Arial"/>
      <family val="2"/>
      <charset val="1"/>
    </font>
    <font>
      <b val="true"/>
      <sz val="9"/>
      <color rgb="FF0D0D0D"/>
      <name val="Arial"/>
      <family val="2"/>
      <charset val="1"/>
    </font>
    <font>
      <sz val="9"/>
      <color rgb="FF4A4A4A"/>
      <name val="Arial"/>
      <family val="2"/>
      <charset val="1"/>
    </font>
    <font>
      <b val="true"/>
      <sz val="10"/>
      <color rgb="FFFFFFFF"/>
      <name val="Arial"/>
      <family val="2"/>
      <charset val="1"/>
    </font>
    <font>
      <b val="true"/>
      <sz val="11"/>
      <color rgb="FF0D0D0D"/>
      <name val="Arial"/>
      <family val="2"/>
      <charset val="1"/>
    </font>
    <font>
      <b val="true"/>
      <sz val="11"/>
      <color rgb="FFB8860B"/>
      <name val="Arial"/>
      <family val="2"/>
      <charset val="1"/>
    </font>
    <font>
      <i val="true"/>
      <sz val="8"/>
      <color rgb="FFF5E6C8"/>
      <name val="Arial"/>
      <family val="2"/>
      <charset val="1"/>
    </font>
    <font>
      <b val="true"/>
      <sz val="8"/>
      <color rgb="FFF5E6C8"/>
      <name val="Arial"/>
      <family val="2"/>
      <charset val="1"/>
    </font>
    <font>
      <b val="true"/>
      <sz val="10"/>
      <color rgb="FF0D0D0D"/>
      <name val="Arial"/>
      <family val="2"/>
      <charset val="1"/>
    </font>
    <font>
      <i val="true"/>
      <sz val="8"/>
      <color rgb="FF0D0D0D"/>
      <name val="Arial"/>
      <family val="2"/>
      <charset val="1"/>
    </font>
    <font>
      <sz val="8"/>
      <color rgb="FF0D0D0D"/>
      <name val="Arial"/>
      <family val="2"/>
      <charset val="1"/>
    </font>
    <font>
      <sz val="8"/>
      <color theme="1"/>
      <name val="Arial"/>
      <family val="2"/>
      <charset val="1"/>
    </font>
    <font>
      <b val="true"/>
      <sz val="11"/>
      <color rgb="FF1A2644"/>
      <name val="Arial"/>
      <family val="2"/>
      <charset val="1"/>
    </font>
    <font>
      <b val="true"/>
      <sz val="10"/>
      <color rgb="FFB8860B"/>
      <name val="Arial"/>
      <family val="2"/>
      <charset val="1"/>
    </font>
    <font>
      <i val="true"/>
      <sz val="9"/>
      <color rgb="FF4A4A4A"/>
      <name val="Arial"/>
      <family val="2"/>
      <charset val="1"/>
    </font>
    <font>
      <b val="true"/>
      <i val="true"/>
      <sz val="9"/>
      <color rgb="FF1A2644"/>
      <name val="Arial"/>
      <family val="2"/>
      <charset val="1"/>
    </font>
    <font>
      <b val="true"/>
      <sz val="12"/>
      <color rgb="FF0D0D0D"/>
      <name val="Arial"/>
      <family val="2"/>
      <charset val="1"/>
    </font>
    <font>
      <b val="true"/>
      <sz val="11"/>
      <color rgb="FFC9921A"/>
      <name val="Calibri"/>
      <family val="2"/>
      <charset val="1"/>
    </font>
    <font>
      <b val="true"/>
      <sz val="10"/>
      <color rgb="FFFFFFFF"/>
      <name val="Calibri"/>
      <family val="2"/>
      <charset val="1"/>
    </font>
    <font>
      <b val="true"/>
      <sz val="9"/>
      <color theme="1"/>
      <name val="Arial"/>
      <family val="2"/>
      <charset val="1"/>
    </font>
    <font>
      <sz val="9"/>
      <color theme="1"/>
      <name val="Arial"/>
      <family val="2"/>
      <charset val="1"/>
    </font>
    <font>
      <sz val="10"/>
      <color theme="1"/>
      <name val="Arial"/>
      <family val="2"/>
      <charset val="1"/>
    </font>
    <font>
      <sz val="9"/>
      <color rgb="FF1A6B3A"/>
      <name val="Arial"/>
      <family val="2"/>
      <charset val="1"/>
    </font>
    <font>
      <sz val="9"/>
      <color rgb="FFC47A0A"/>
      <name val="Arial"/>
      <family val="2"/>
      <charset val="1"/>
    </font>
    <font>
      <sz val="9"/>
      <color rgb="FF8B1A1A"/>
      <name val="Arial"/>
      <family val="2"/>
      <charset val="1"/>
    </font>
  </fonts>
  <fills count="16">
    <fill>
      <patternFill patternType="none"/>
    </fill>
    <fill>
      <patternFill patternType="gray125"/>
    </fill>
    <fill>
      <patternFill patternType="solid">
        <fgColor rgb="FF1A2644"/>
        <bgColor rgb="FF2C3E6B"/>
      </patternFill>
    </fill>
    <fill>
      <patternFill patternType="solid">
        <fgColor rgb="FF2C3E6B"/>
        <bgColor rgb="FF444444"/>
      </patternFill>
    </fill>
    <fill>
      <patternFill patternType="solid">
        <fgColor rgb="FFFDF6E8"/>
        <bgColor rgb="FFFFF3E0"/>
      </patternFill>
    </fill>
    <fill>
      <patternFill patternType="solid">
        <fgColor rgb="FFE3F0FF"/>
        <bgColor rgb="FFE8F5EE"/>
      </patternFill>
    </fill>
    <fill>
      <patternFill patternType="solid">
        <fgColor rgb="FFF4F4F4"/>
        <bgColor rgb="FFFDF6E8"/>
      </patternFill>
    </fill>
    <fill>
      <patternFill patternType="solid">
        <fgColor rgb="FFFFF3E0"/>
        <bgColor rgb="FFFEF3DC"/>
      </patternFill>
    </fill>
    <fill>
      <patternFill patternType="solid">
        <fgColor rgb="FFFFFFFF"/>
        <bgColor rgb="FFFDF6E8"/>
      </patternFill>
    </fill>
    <fill>
      <patternFill patternType="solid">
        <fgColor rgb="FFE8F5EE"/>
        <bgColor rgb="FFF4F4F4"/>
      </patternFill>
    </fill>
    <fill>
      <patternFill patternType="solid">
        <fgColor rgb="FFFEF3DC"/>
        <bgColor rgb="FFFFF3E0"/>
      </patternFill>
    </fill>
    <fill>
      <patternFill patternType="solid">
        <fgColor rgb="FFC9921A"/>
        <bgColor rgb="FFB8860B"/>
      </patternFill>
    </fill>
    <fill>
      <patternFill patternType="solid">
        <fgColor theme="2"/>
        <bgColor rgb="FFFDEADA"/>
      </patternFill>
    </fill>
    <fill>
      <patternFill patternType="solid">
        <fgColor theme="9" tint="0.7998"/>
        <bgColor rgb="FFFDEAEA"/>
      </patternFill>
    </fill>
    <fill>
      <patternFill patternType="solid">
        <fgColor rgb="FFFDEAEA"/>
        <bgColor rgb="FFFDEADA"/>
      </patternFill>
    </fill>
    <fill>
      <patternFill patternType="solid">
        <fgColor rgb="FF4A4A4A"/>
        <bgColor rgb="FF444444"/>
      </patternFill>
    </fill>
  </fills>
  <borders count="30">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666666"/>
      </left>
      <right/>
      <top style="thin">
        <color rgb="FF666666"/>
      </top>
      <bottom style="thin">
        <color rgb="FF666666"/>
      </bottom>
      <diagonal/>
    </border>
    <border diagonalUp="false" diagonalDown="false">
      <left style="thin">
        <color rgb="FF888888"/>
      </left>
      <right style="thin">
        <color rgb="FF888888"/>
      </right>
      <top style="thin">
        <color rgb="FF888888"/>
      </top>
      <bottom style="thin">
        <color rgb="FF888888"/>
      </bottom>
      <diagonal/>
    </border>
    <border diagonalUp="false" diagonalDown="false">
      <left style="thin">
        <color rgb="FF3399FF"/>
      </left>
      <right style="thin">
        <color rgb="FF3399FF"/>
      </right>
      <top style="thin">
        <color rgb="FF3399FF"/>
      </top>
      <bottom style="thin">
        <color rgb="FF3399FF"/>
      </bottom>
      <diagonal/>
    </border>
    <border diagonalUp="false" diagonalDown="false">
      <left style="thin">
        <color rgb="FF3399FF"/>
      </left>
      <right style="thin">
        <color rgb="FF3399FF"/>
      </right>
      <top/>
      <bottom/>
      <diagonal/>
    </border>
    <border diagonalUp="false" diagonalDown="false">
      <left style="thin">
        <color rgb="FFCCCCCC"/>
      </left>
      <right style="thin">
        <color rgb="FFCCCCCC"/>
      </right>
      <top style="thin">
        <color rgb="FFCCCCCC"/>
      </top>
      <bottom/>
      <diagonal/>
    </border>
    <border diagonalUp="false" diagonalDown="false">
      <left style="thin">
        <color rgb="FF3399FF"/>
      </left>
      <right style="thin">
        <color rgb="FF3399FF"/>
      </right>
      <top style="thin">
        <color rgb="FF3399FF"/>
      </top>
      <bottom/>
      <diagonal/>
    </border>
    <border diagonalUp="false" diagonalDown="false">
      <left style="thin">
        <color rgb="FF3399FF"/>
      </left>
      <right/>
      <top/>
      <bottom/>
      <diagonal/>
    </border>
    <border diagonalUp="false" diagonalDown="false">
      <left style="thin">
        <color rgb="FFCCCCCC"/>
      </left>
      <right/>
      <top style="thin">
        <color rgb="FFCCCCCC"/>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bottom style="thin">
        <color rgb="FFCCCCCC"/>
      </bottom>
      <diagonal/>
    </border>
    <border diagonalUp="false" diagonalDown="false">
      <left style="thin">
        <color rgb="FF3399FF"/>
      </left>
      <right style="thin">
        <color rgb="FF3399FF"/>
      </right>
      <top/>
      <bottom style="thin">
        <color rgb="FF3399FF"/>
      </bottom>
      <diagonal/>
    </border>
    <border diagonalUp="false" diagonalDown="false">
      <left style="medium">
        <color rgb="FF1A2644"/>
      </left>
      <right style="medium">
        <color rgb="FF1A2644"/>
      </right>
      <top style="medium">
        <color rgb="FF1A2644"/>
      </top>
      <bottom style="medium">
        <color rgb="FF1A2644"/>
      </bottom>
      <diagonal/>
    </border>
    <border diagonalUp="false" diagonalDown="false">
      <left style="thin">
        <color rgb="FF888888"/>
      </left>
      <right/>
      <top style="thin">
        <color rgb="FF888888"/>
      </top>
      <bottom style="thin">
        <color rgb="FF888888"/>
      </bottom>
      <diagonal/>
    </border>
    <border diagonalUp="false" diagonalDown="false">
      <left style="thin">
        <color rgb="FF888888"/>
      </left>
      <right style="thin">
        <color rgb="FF888888"/>
      </right>
      <top style="thin">
        <color rgb="FF888888"/>
      </top>
      <bottom/>
      <diagonal/>
    </border>
    <border diagonalUp="false" diagonalDown="false">
      <left style="thin">
        <color rgb="FF444444"/>
      </left>
      <right/>
      <top style="thin">
        <color rgb="FF444444"/>
      </top>
      <bottom style="thin">
        <color rgb="FF444444"/>
      </bottom>
      <diagonal/>
    </border>
    <border diagonalUp="false" diagonalDown="false">
      <left style="thin">
        <color rgb="FFB8860B"/>
      </left>
      <right style="thin">
        <color rgb="FFB8860B"/>
      </right>
      <top style="thin">
        <color rgb="FFB8860B"/>
      </top>
      <bottom style="thin">
        <color rgb="FFB8860B"/>
      </bottom>
      <diagonal/>
    </border>
    <border diagonalUp="false" diagonalDown="false">
      <left style="thin">
        <color rgb="FF444444"/>
      </left>
      <right style="thin">
        <color rgb="FFCCCCCC"/>
      </right>
      <top style="thin">
        <color rgb="FF444444"/>
      </top>
      <bottom style="thin">
        <color rgb="FF444444"/>
      </bottom>
      <diagonal/>
    </border>
    <border diagonalUp="false" diagonalDown="false">
      <left style="thin">
        <color rgb="FFB8860B"/>
      </left>
      <right style="thin">
        <color rgb="FFB8860B"/>
      </right>
      <top style="thin">
        <color rgb="FFB8860B"/>
      </top>
      <bottom/>
      <diagonal/>
    </border>
    <border diagonalUp="false" diagonalDown="false">
      <left style="thin">
        <color rgb="FF444444"/>
      </left>
      <right/>
      <top style="thin">
        <color rgb="FF444444"/>
      </top>
      <bottom/>
      <diagonal/>
    </border>
    <border diagonalUp="false" diagonalDown="false">
      <left/>
      <right/>
      <top style="thin">
        <color rgb="FF444444"/>
      </top>
      <bottom/>
      <diagonal/>
    </border>
    <border diagonalUp="false" diagonalDown="false">
      <left style="thin">
        <color rgb="FFCCCCCC"/>
      </left>
      <right/>
      <top style="thin">
        <color rgb="FF444444"/>
      </top>
      <bottom/>
      <diagonal/>
    </border>
    <border diagonalUp="false" diagonalDown="false">
      <left style="thin">
        <color rgb="FFCCCCCC"/>
      </left>
      <right/>
      <top/>
      <bottom/>
      <diagonal/>
    </border>
    <border diagonalUp="false" diagonalDown="false">
      <left style="thin">
        <color rgb="FFCCCCCC"/>
      </left>
      <right/>
      <top/>
      <bottom style="thin">
        <color rgb="FFCCCCCC"/>
      </bottom>
      <diagonal/>
    </border>
    <border diagonalUp="false" diagonalDown="false">
      <left style="thin">
        <color theme="0" tint="-0.15"/>
      </left>
      <right/>
      <top style="thin">
        <color theme="0" tint="-0.15"/>
      </top>
      <bottom style="thin">
        <color theme="0" tint="-0.15"/>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right/>
      <top style="thin">
        <color theme="0" tint="-0.15"/>
      </top>
      <bottom style="thin">
        <color theme="0" tint="-0.15"/>
      </bottom>
      <diagonal/>
    </border>
    <border diagonalUp="false" diagonalDown="false">
      <left style="thin"/>
      <right/>
      <top/>
      <bottom/>
      <diagonal/>
    </border>
    <border diagonalUp="false" diagonalDown="false">
      <left style="thin"/>
      <right/>
      <top style="thin">
        <color theme="0" tint="-0.15"/>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right" vertical="top"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left" vertical="center" textRotation="0" wrapText="true" indent="0" shrinkToFit="false"/>
      <protection locked="true" hidden="false"/>
    </xf>
    <xf numFmtId="164" fontId="9" fillId="3" borderId="3" xfId="0" applyFont="true" applyBorder="true" applyAlignment="true" applyProtection="false">
      <alignment horizontal="right" vertical="center" textRotation="0" wrapText="true" indent="0" shrinkToFit="false"/>
      <protection locked="true" hidden="false"/>
    </xf>
    <xf numFmtId="164" fontId="7" fillId="5" borderId="4"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5" fontId="7" fillId="5" borderId="4" xfId="0" applyFont="true" applyBorder="true" applyAlignment="true" applyProtection="false">
      <alignment horizontal="left" vertical="center" textRotation="0" wrapText="true" indent="0" shrinkToFit="false"/>
      <protection locked="true" hidden="false"/>
    </xf>
    <xf numFmtId="164" fontId="11" fillId="2" borderId="3"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7" fillId="5" borderId="5" xfId="0" applyFont="true" applyBorder="true" applyAlignment="true" applyProtection="false">
      <alignment horizontal="left" vertical="center" textRotation="0" wrapText="true" indent="0" shrinkToFit="false"/>
      <protection locked="true" hidden="false"/>
    </xf>
    <xf numFmtId="166" fontId="7" fillId="5" borderId="4" xfId="0" applyFont="true" applyBorder="true" applyAlignment="true" applyProtection="false">
      <alignment horizontal="left" vertical="center" textRotation="0" wrapText="true" indent="0" shrinkToFit="false"/>
      <protection locked="true" hidden="false"/>
    </xf>
    <xf numFmtId="164" fontId="12" fillId="6" borderId="6" xfId="0" applyFont="true" applyBorder="true" applyAlignment="true" applyProtection="false">
      <alignment horizontal="center" vertical="center" textRotation="0" wrapText="true" indent="0" shrinkToFit="false"/>
      <protection locked="true" hidden="false"/>
    </xf>
    <xf numFmtId="165" fontId="7" fillId="5" borderId="7" xfId="0" applyFont="true" applyBorder="true" applyAlignment="true" applyProtection="false">
      <alignment horizontal="left" vertical="center" textRotation="0" wrapText="true" indent="0" shrinkToFit="false"/>
      <protection locked="true" hidden="false"/>
    </xf>
    <xf numFmtId="164" fontId="7" fillId="5" borderId="7" xfId="0" applyFont="true" applyBorder="true" applyAlignment="true" applyProtection="false">
      <alignment horizontal="left" vertical="center" textRotation="0" wrapText="true" indent="0" shrinkToFit="false"/>
      <protection locked="true" hidden="false"/>
    </xf>
    <xf numFmtId="164" fontId="7" fillId="5" borderId="8" xfId="0" applyFont="true" applyBorder="true" applyAlignment="true" applyProtection="false">
      <alignment horizontal="left" vertical="center" textRotation="0" wrapText="true" indent="0" shrinkToFit="false"/>
      <protection locked="true" hidden="false"/>
    </xf>
    <xf numFmtId="164" fontId="12" fillId="6" borderId="9"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left" vertical="center" textRotation="0" wrapText="true" indent="0" shrinkToFit="false"/>
      <protection locked="true" hidden="false"/>
    </xf>
    <xf numFmtId="164" fontId="12" fillId="6" borderId="10" xfId="0" applyFont="true" applyBorder="true" applyAlignment="true" applyProtection="false">
      <alignment horizontal="center" vertical="center" textRotation="0" wrapText="true" indent="0" shrinkToFit="false"/>
      <protection locked="true" hidden="false"/>
    </xf>
    <xf numFmtId="164" fontId="12" fillId="6" borderId="11" xfId="0" applyFont="true" applyBorder="true" applyAlignment="true" applyProtection="false">
      <alignment horizontal="center" vertical="center" textRotation="0" wrapText="true" indent="0" shrinkToFit="false"/>
      <protection locked="true" hidden="false"/>
    </xf>
    <xf numFmtId="165" fontId="7" fillId="5" borderId="12" xfId="0" applyFont="true" applyBorder="true" applyAlignment="true" applyProtection="false">
      <alignment horizontal="left" vertical="center" textRotation="0" wrapText="true" indent="0" shrinkToFit="false"/>
      <protection locked="true" hidden="false"/>
    </xf>
    <xf numFmtId="164" fontId="7" fillId="5" borderId="12" xfId="0" applyFont="true" applyBorder="true" applyAlignment="true" applyProtection="false">
      <alignment horizontal="left" vertical="center" textRotation="0" wrapText="true" indent="0" shrinkToFit="false"/>
      <protection locked="true" hidden="false"/>
    </xf>
    <xf numFmtId="164" fontId="13" fillId="6" borderId="3"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4" fillId="2" borderId="10" xfId="0" applyFont="true" applyBorder="true" applyAlignment="true" applyProtection="false">
      <alignment horizontal="right" vertical="center" textRotation="0" wrapText="true" indent="0" shrinkToFit="false"/>
      <protection locked="true" hidden="false"/>
    </xf>
    <xf numFmtId="164" fontId="15" fillId="0" borderId="13"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3" borderId="0" xfId="0" applyFont="true" applyBorder="true" applyAlignment="true" applyProtection="false">
      <alignment horizontal="left" vertical="center" textRotation="0" wrapText="tru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9" fillId="2" borderId="3" xfId="0" applyFont="true" applyBorder="true" applyAlignment="true" applyProtection="false">
      <alignment horizontal="center" vertical="center" textRotation="0" wrapText="true" indent="0" shrinkToFit="false"/>
      <protection locked="true" hidden="false"/>
    </xf>
    <xf numFmtId="164" fontId="9" fillId="2" borderId="14" xfId="0" applyFont="true" applyBorder="true" applyAlignment="true" applyProtection="false">
      <alignment horizontal="center" vertical="center" textRotation="0" wrapText="true" indent="0" shrinkToFit="false"/>
      <protection locked="true" hidden="false"/>
    </xf>
    <xf numFmtId="164" fontId="9" fillId="2" borderId="15" xfId="0" applyFont="true" applyBorder="true" applyAlignment="true" applyProtection="false">
      <alignment horizontal="center" vertical="bottom" textRotation="0" wrapText="true" indent="0" shrinkToFit="false"/>
      <protection locked="true" hidden="false"/>
    </xf>
    <xf numFmtId="164" fontId="18" fillId="3" borderId="16" xfId="0" applyFont="true" applyBorder="true" applyAlignment="true" applyProtection="false">
      <alignment horizontal="left" vertical="center" textRotation="0" wrapText="true" indent="0" shrinkToFit="false"/>
      <protection locked="true" hidden="false"/>
    </xf>
    <xf numFmtId="164" fontId="18" fillId="3" borderId="16" xfId="0" applyFont="true" applyBorder="true" applyAlignment="fals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7" fillId="5" borderId="4" xfId="0" applyFont="true" applyBorder="true" applyAlignment="true" applyProtection="false">
      <alignment horizontal="center" vertical="center" textRotation="0" wrapText="true" indent="0" shrinkToFit="false"/>
      <protection locked="true" hidden="false"/>
    </xf>
    <xf numFmtId="164" fontId="7" fillId="7" borderId="4"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19" fillId="4" borderId="17" xfId="0" applyFont="true" applyBorder="true" applyAlignment="true" applyProtection="false">
      <alignment horizontal="center" vertical="center" textRotation="0" wrapText="true" indent="0" shrinkToFit="false"/>
      <protection locked="true" hidden="false"/>
    </xf>
    <xf numFmtId="164" fontId="20" fillId="6" borderId="1" xfId="0" applyFont="true" applyBorder="true" applyAlignment="true" applyProtection="false">
      <alignment horizontal="left" vertical="center" textRotation="0" wrapText="true" indent="0" shrinkToFit="false"/>
      <protection locked="true" hidden="false"/>
    </xf>
    <xf numFmtId="164" fontId="21" fillId="9" borderId="10" xfId="0" applyFont="true" applyBorder="true" applyAlignment="true" applyProtection="false">
      <alignment horizontal="center" vertical="center" textRotation="0" wrapText="true" indent="0" shrinkToFit="false"/>
      <protection locked="true" hidden="false"/>
    </xf>
    <xf numFmtId="164" fontId="22" fillId="6" borderId="11" xfId="0" applyFont="true" applyBorder="true" applyAlignment="true" applyProtection="false">
      <alignment horizontal="center" vertical="bottom" textRotation="0" wrapText="false" indent="0" shrinkToFit="false"/>
      <protection locked="true" hidden="false"/>
    </xf>
    <xf numFmtId="164" fontId="22" fillId="6" borderId="1" xfId="0" applyFont="true" applyBorder="true" applyAlignment="true" applyProtection="false">
      <alignment horizontal="center" vertical="bottom" textRotation="0" wrapText="false" indent="0" shrinkToFit="false"/>
      <protection locked="true" hidden="false"/>
    </xf>
    <xf numFmtId="164" fontId="22" fillId="6" borderId="6" xfId="0" applyFont="true" applyBorder="true" applyAlignment="true" applyProtection="false">
      <alignment horizontal="center" vertical="bottom" textRotation="0" wrapText="false" indent="0" shrinkToFit="false"/>
      <protection locked="true" hidden="false"/>
    </xf>
    <xf numFmtId="164" fontId="18" fillId="3" borderId="18" xfId="0" applyFont="true" applyBorder="true" applyAlignment="true" applyProtection="false">
      <alignment horizontal="center" vertical="bottom" textRotation="0" wrapText="false" indent="0" shrinkToFit="false"/>
      <protection locked="true" hidden="false"/>
    </xf>
    <xf numFmtId="164" fontId="13" fillId="6" borderId="6" xfId="0" applyFont="true" applyBorder="true" applyAlignment="true" applyProtection="false">
      <alignment horizontal="center" vertical="center" textRotation="0" wrapText="true" indent="0" shrinkToFit="false"/>
      <protection locked="true" hidden="false"/>
    </xf>
    <xf numFmtId="164" fontId="19" fillId="4" borderId="19" xfId="0" applyFont="true" applyBorder="true" applyAlignment="true" applyProtection="false">
      <alignment horizontal="center" vertical="center" textRotation="0" wrapText="true" indent="0" shrinkToFit="false"/>
      <protection locked="true" hidden="false"/>
    </xf>
    <xf numFmtId="164" fontId="18" fillId="3" borderId="20" xfId="0" applyFont="true" applyBorder="true" applyAlignment="false" applyProtection="false">
      <alignment horizontal="general" vertical="bottom" textRotation="0" wrapText="false" indent="0" shrinkToFit="false"/>
      <protection locked="true" hidden="false"/>
    </xf>
    <xf numFmtId="164" fontId="18" fillId="3" borderId="21" xfId="0" applyFont="true" applyBorder="true" applyAlignment="false" applyProtection="false">
      <alignment horizontal="general" vertical="bottom" textRotation="0" wrapText="false" indent="0" shrinkToFit="false"/>
      <protection locked="true" hidden="false"/>
    </xf>
    <xf numFmtId="164" fontId="13" fillId="6" borderId="22" xfId="0" applyFont="true" applyBorder="true" applyAlignment="true" applyProtection="false">
      <alignment horizontal="center" vertical="bottom" textRotation="0" wrapText="false" indent="0" shrinkToFit="false"/>
      <protection locked="true" hidden="false"/>
    </xf>
    <xf numFmtId="164" fontId="7" fillId="5" borderId="7" xfId="0" applyFont="true" applyBorder="true" applyAlignment="true" applyProtection="false">
      <alignment horizontal="center" vertical="center" textRotation="0" wrapText="true" indent="0" shrinkToFit="false"/>
      <protection locked="true" hidden="false"/>
    </xf>
    <xf numFmtId="164" fontId="7" fillId="6" borderId="6" xfId="0" applyFont="true" applyBorder="true" applyAlignment="true" applyProtection="false">
      <alignment horizontal="center" vertical="center" textRotation="0" wrapText="true" indent="0" shrinkToFit="false"/>
      <protection locked="true" hidden="false"/>
    </xf>
    <xf numFmtId="164" fontId="20" fillId="6" borderId="6" xfId="0" applyFont="true" applyBorder="true" applyAlignment="true" applyProtection="false">
      <alignment horizontal="left" vertical="center" textRotation="0" wrapText="true" indent="0" shrinkToFit="false"/>
      <protection locked="true" hidden="false"/>
    </xf>
    <xf numFmtId="164" fontId="21" fillId="9" borderId="9" xfId="0" applyFont="true" applyBorder="true" applyAlignment="true" applyProtection="false">
      <alignment horizontal="center" vertical="center" textRotation="0" wrapText="true" indent="0" shrinkToFit="false"/>
      <protection locked="true" hidden="false"/>
    </xf>
    <xf numFmtId="164" fontId="13" fillId="6" borderId="23" xfId="0" applyFont="true" applyBorder="true" applyAlignment="true" applyProtection="false">
      <alignment horizontal="center" vertical="bottom" textRotation="0" wrapText="false" indent="0" shrinkToFit="false"/>
      <protection locked="true" hidden="false"/>
    </xf>
    <xf numFmtId="164" fontId="7" fillId="8" borderId="6" xfId="0" applyFont="true" applyBorder="true" applyAlignment="true" applyProtection="false">
      <alignment horizontal="left" vertical="center" textRotation="0" wrapText="false" indent="0" shrinkToFit="false"/>
      <protection locked="true" hidden="false"/>
    </xf>
    <xf numFmtId="164" fontId="13" fillId="6" borderId="24" xfId="0" applyFont="true" applyBorder="true" applyAlignment="true" applyProtection="false">
      <alignment horizontal="center" vertical="bottom" textRotation="0" wrapText="false" indent="0" shrinkToFit="false"/>
      <protection locked="true" hidden="false"/>
    </xf>
    <xf numFmtId="164" fontId="19" fillId="6" borderId="0" xfId="0" applyFont="true" applyBorder="true" applyAlignment="true" applyProtection="false">
      <alignment horizontal="right" vertical="center" textRotation="0" wrapText="tru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4" fontId="24" fillId="2" borderId="0" xfId="0" applyFont="true" applyBorder="true" applyAlignment="true" applyProtection="false">
      <alignment horizontal="left" vertical="center" textRotation="0" wrapText="true" indent="0" shrinkToFit="false"/>
      <protection locked="true" hidden="false"/>
    </xf>
    <xf numFmtId="164" fontId="11" fillId="3" borderId="3"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8" fontId="12" fillId="10"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left" vertical="center"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7" fillId="2" borderId="3"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6" fillId="2" borderId="13"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true" applyAlignment="true" applyProtection="false">
      <alignment horizontal="right" vertical="center" textRotation="0" wrapText="true" indent="0" shrinkToFit="false"/>
      <protection locked="true" hidden="false"/>
    </xf>
    <xf numFmtId="164" fontId="27" fillId="0" borderId="13" xfId="0" applyFont="true" applyBorder="true" applyAlignment="true" applyProtection="false">
      <alignment horizontal="center" vertical="center" textRotation="0" wrapText="true" indent="0" shrinkToFit="false"/>
      <protection locked="true" hidden="false"/>
    </xf>
    <xf numFmtId="164" fontId="12" fillId="0" borderId="10" xfId="0" applyFont="true" applyBorder="true" applyAlignment="true" applyProtection="false">
      <alignment horizontal="left" vertical="center"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11" borderId="0" xfId="0" applyFont="true" applyBorder="false" applyAlignment="false" applyProtection="false">
      <alignment horizontal="general" vertical="bottom" textRotation="0" wrapText="false" indent="0" shrinkToFit="false"/>
      <protection locked="true" hidden="false"/>
    </xf>
    <xf numFmtId="164" fontId="30" fillId="12" borderId="25" xfId="0" applyFont="true" applyBorder="true" applyAlignment="true" applyProtection="false">
      <alignment horizontal="left" vertical="center" textRotation="0" wrapText="false" indent="0" shrinkToFit="false"/>
      <protection locked="true" hidden="false"/>
    </xf>
    <xf numFmtId="164" fontId="31" fillId="0" borderId="26" xfId="0" applyFont="true" applyBorder="true" applyAlignment="true" applyProtection="false">
      <alignment horizontal="center" vertical="center" textRotation="0" wrapText="false" indent="0" shrinkToFit="false"/>
      <protection locked="true" hidden="false"/>
    </xf>
    <xf numFmtId="168" fontId="31" fillId="0" borderId="26" xfId="0" applyFont="true" applyBorder="true" applyAlignment="true" applyProtection="false">
      <alignment horizontal="center" vertical="center" textRotation="0" wrapText="false" indent="0" shrinkToFit="false"/>
      <protection locked="true" hidden="false"/>
    </xf>
    <xf numFmtId="168" fontId="30" fillId="13" borderId="26" xfId="0" applyFont="true" applyBorder="true" applyAlignment="true" applyProtection="false">
      <alignment horizontal="center" vertical="center" textRotation="0" wrapText="false" indent="0" shrinkToFit="false"/>
      <protection locked="true" hidden="false"/>
    </xf>
    <xf numFmtId="164" fontId="30" fillId="12" borderId="27" xfId="0" applyFont="true" applyBorder="true" applyAlignment="true" applyProtection="false">
      <alignment horizontal="left" vertical="center" textRotation="0" wrapText="false" indent="0" shrinkToFit="false"/>
      <protection locked="true" hidden="false"/>
    </xf>
    <xf numFmtId="164" fontId="30" fillId="12" borderId="28" xfId="0" applyFont="true" applyBorder="true" applyAlignment="true" applyProtection="false">
      <alignment horizontal="left" vertical="center" textRotation="0" wrapText="false" indent="0" shrinkToFit="false"/>
      <protection locked="true" hidden="false"/>
    </xf>
    <xf numFmtId="164" fontId="30" fillId="12" borderId="29" xfId="0" applyFont="true" applyBorder="true" applyAlignment="true" applyProtection="false">
      <alignment horizontal="left" vertical="center" textRotation="0" wrapText="false" indent="0" shrinkToFit="false"/>
      <protection locked="true" hidden="false"/>
    </xf>
    <xf numFmtId="164" fontId="30" fillId="12" borderId="26" xfId="0" applyFont="true" applyBorder="true" applyAlignment="true" applyProtection="false">
      <alignment horizontal="left" vertical="center" textRotation="0" wrapText="false" indent="0" shrinkToFit="false"/>
      <protection locked="true" hidden="false"/>
    </xf>
    <xf numFmtId="164" fontId="30" fillId="12" borderId="26" xfId="0" applyFont="true" applyBorder="true" applyAlignment="false" applyProtection="false">
      <alignment horizontal="general" vertical="bottom" textRotation="0" wrapText="false" indent="0" shrinkToFit="false"/>
      <protection locked="true" hidden="false"/>
    </xf>
    <xf numFmtId="164" fontId="32" fillId="0" borderId="26" xfId="0" applyFont="true" applyBorder="true" applyAlignment="false" applyProtection="false">
      <alignment horizontal="general" vertical="bottom" textRotation="0" wrapText="false" indent="0" shrinkToFit="false"/>
      <protection locked="true" hidden="false"/>
    </xf>
    <xf numFmtId="168" fontId="30" fillId="0" borderId="26" xfId="0" applyFont="true" applyBorder="true" applyAlignment="true" applyProtection="false">
      <alignment horizontal="center" vertical="center" textRotation="0" wrapText="false" indent="0" shrinkToFit="false"/>
      <protection locked="true" hidden="false"/>
    </xf>
    <xf numFmtId="164" fontId="24" fillId="2" borderId="0" xfId="0" applyFont="true" applyBorder="true" applyAlignment="true" applyProtection="false">
      <alignment horizontal="center" vertical="center" textRotation="0" wrapText="true" indent="0" shrinkToFit="false"/>
      <protection locked="true" hidden="false"/>
    </xf>
    <xf numFmtId="164" fontId="9" fillId="3" borderId="3"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33" fillId="9" borderId="1" xfId="0" applyFont="true" applyBorder="true" applyAlignment="true" applyProtection="false">
      <alignment horizontal="left" vertical="center" textRotation="0" wrapText="true" indent="0" shrinkToFit="false"/>
      <protection locked="true" hidden="false"/>
    </xf>
    <xf numFmtId="164" fontId="34" fillId="10" borderId="1" xfId="0" applyFont="true" applyBorder="true" applyAlignment="true" applyProtection="false">
      <alignment horizontal="left" vertical="center" textRotation="0" wrapText="true" indent="0" shrinkToFit="false"/>
      <protection locked="true" hidden="false"/>
    </xf>
    <xf numFmtId="164" fontId="35" fillId="14" borderId="1" xfId="0" applyFont="true" applyBorder="true" applyAlignment="true" applyProtection="false">
      <alignment horizontal="left" vertical="center" textRotation="0" wrapText="true" indent="0" shrinkToFit="false"/>
      <protection locked="true" hidden="false"/>
    </xf>
    <xf numFmtId="164" fontId="12" fillId="8" borderId="1" xfId="0" applyFont="true" applyBorder="true" applyAlignment="true" applyProtection="false">
      <alignment horizontal="left" vertical="center" textRotation="0" wrapText="true" indent="0" shrinkToFit="false"/>
      <protection locked="true" hidden="false"/>
    </xf>
    <xf numFmtId="164" fontId="9" fillId="15" borderId="2"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DF6E8"/>
      <rgbColor rgb="FFFF00FF"/>
      <rgbColor rgb="FF00FFFF"/>
      <rgbColor rgb="FF800000"/>
      <rgbColor rgb="FF1A6B3A"/>
      <rgbColor rgb="FF000080"/>
      <rgbColor rgb="FFB8860B"/>
      <rgbColor rgb="FF800080"/>
      <rgbColor rgb="FF008080"/>
      <rgbColor rgb="FFCCCCCC"/>
      <rgbColor rgb="FF888888"/>
      <rgbColor rgb="FF9999FF"/>
      <rgbColor rgb="FF993366"/>
      <rgbColor rgb="FFFEF3DC"/>
      <rgbColor rgb="FFE3F0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F5EE"/>
      <rgbColor rgb="FFEEECE1"/>
      <rgbColor rgb="FFFFF3E0"/>
      <rgbColor rgb="FFF4F4F4"/>
      <rgbColor rgb="FFFDEADA"/>
      <rgbColor rgb="FFFDEAEA"/>
      <rgbColor rgb="FFF5E6C8"/>
      <rgbColor rgb="FF3399FF"/>
      <rgbColor rgb="FF33CCCC"/>
      <rgbColor rgb="FF99CC00"/>
      <rgbColor rgb="FFFFCC00"/>
      <rgbColor rgb="FFC9921A"/>
      <rgbColor rgb="FFC47A0A"/>
      <rgbColor rgb="FF666666"/>
      <rgbColor rgb="FF969696"/>
      <rgbColor rgb="FF1A2644"/>
      <rgbColor rgb="FF339966"/>
      <rgbColor rgb="FF0D0D0D"/>
      <rgbColor rgb="FF4A4A4A"/>
      <rgbColor rgb="FF8B1A1A"/>
      <rgbColor rgb="FF993366"/>
      <rgbColor rgb="FF2C3E6B"/>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E6B"/>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65"/>
    <col collapsed="false" customWidth="true" hidden="false" outlineLevel="0" max="4" min="4" style="0" width="22"/>
  </cols>
  <sheetData>
    <row r="1" customFormat="false" ht="36" hidden="false" customHeight="true" outlineLevel="0" collapsed="false">
      <c r="A1" s="1" t="s">
        <v>0</v>
      </c>
      <c r="B1" s="1"/>
      <c r="C1" s="1"/>
      <c r="D1" s="1"/>
    </row>
    <row r="2" customFormat="false" ht="18" hidden="false" customHeight="true" outlineLevel="0" collapsed="false">
      <c r="A2" s="2" t="s">
        <v>1</v>
      </c>
      <c r="B2" s="2"/>
      <c r="C2" s="2"/>
      <c r="D2" s="2"/>
    </row>
    <row r="4" customFormat="false" ht="28.5" hidden="false" customHeight="true" outlineLevel="0" collapsed="false">
      <c r="B4" s="3" t="s">
        <v>2</v>
      </c>
      <c r="C4" s="4" t="s">
        <v>3</v>
      </c>
    </row>
    <row r="6" customFormat="false" ht="42" hidden="false" customHeight="true" outlineLevel="0" collapsed="false">
      <c r="B6" s="3" t="s">
        <v>4</v>
      </c>
      <c r="C6" s="4" t="s">
        <v>5</v>
      </c>
    </row>
    <row r="7" customFormat="false" ht="42" hidden="false" customHeight="true" outlineLevel="0" collapsed="false">
      <c r="B7" s="3" t="s">
        <v>6</v>
      </c>
      <c r="C7" s="4" t="s">
        <v>7</v>
      </c>
    </row>
    <row r="8" customFormat="false" ht="54.75" hidden="false" customHeight="true" outlineLevel="0" collapsed="false">
      <c r="B8" s="3" t="s">
        <v>8</v>
      </c>
      <c r="C8" s="4" t="s">
        <v>9</v>
      </c>
    </row>
    <row r="9" customFormat="false" ht="42" hidden="false" customHeight="true" outlineLevel="0" collapsed="false">
      <c r="B9" s="3" t="s">
        <v>10</v>
      </c>
      <c r="C9" s="4" t="s">
        <v>11</v>
      </c>
    </row>
    <row r="10" customFormat="false" ht="42" hidden="false" customHeight="true" outlineLevel="0" collapsed="false">
      <c r="B10" s="3" t="s">
        <v>12</v>
      </c>
      <c r="C10" s="4" t="s">
        <v>13</v>
      </c>
    </row>
    <row r="11" customFormat="false" ht="42" hidden="false" customHeight="true" outlineLevel="0" collapsed="false">
      <c r="B11" s="3" t="s">
        <v>14</v>
      </c>
      <c r="C11" s="4" t="s">
        <v>15</v>
      </c>
    </row>
    <row r="13" customFormat="false" ht="54.75" hidden="false" customHeight="true" outlineLevel="0" collapsed="false">
      <c r="B13" s="3" t="s">
        <v>16</v>
      </c>
      <c r="C13" s="4" t="s">
        <v>17</v>
      </c>
    </row>
    <row r="15" customFormat="false" ht="54.75" hidden="false" customHeight="true" outlineLevel="0" collapsed="false">
      <c r="B15" s="3" t="s">
        <v>18</v>
      </c>
      <c r="C15" s="4" t="s">
        <v>19</v>
      </c>
    </row>
    <row r="17" customFormat="false" ht="54.75" hidden="false" customHeight="true" outlineLevel="0" collapsed="false">
      <c r="B17" s="3" t="s">
        <v>20</v>
      </c>
      <c r="C17" s="4" t="s">
        <v>21</v>
      </c>
    </row>
    <row r="19" customFormat="false" ht="42" hidden="false" customHeight="true" outlineLevel="0" collapsed="false">
      <c r="B19" s="3" t="s">
        <v>22</v>
      </c>
      <c r="C19" s="4" t="s">
        <v>23</v>
      </c>
    </row>
    <row r="21" customFormat="false" ht="81" hidden="false" customHeight="true" outlineLevel="0" collapsed="false">
      <c r="B21" s="3" t="s">
        <v>24</v>
      </c>
      <c r="C21" s="4" t="s">
        <v>25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860B"/>
    <pageSetUpPr fitToPage="fals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D23" activeCellId="0" sqref="D23"/>
    </sheetView>
  </sheetViews>
  <sheetFormatPr defaultColWidth="8.66796875" defaultRowHeight="14.2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28"/>
    <col collapsed="false" customWidth="true" hidden="false" outlineLevel="0" max="4" min="4" style="0" width="18"/>
    <col collapsed="false" customWidth="true" hidden="false" outlineLevel="0" max="5" min="5" style="0" width="21.11"/>
    <col collapsed="false" customWidth="true" hidden="false" outlineLevel="0" max="6" min="6" style="0" width="18"/>
    <col collapsed="false" customWidth="true" hidden="false" outlineLevel="0" max="7" min="7" style="0" width="28"/>
  </cols>
  <sheetData>
    <row r="1" customFormat="false" ht="31.5" hidden="false" customHeight="true" outlineLevel="0" collapsed="false">
      <c r="A1" s="5" t="s">
        <v>26</v>
      </c>
      <c r="B1" s="5"/>
      <c r="C1" s="5"/>
      <c r="D1" s="5"/>
      <c r="E1" s="5"/>
      <c r="F1" s="5"/>
      <c r="G1" s="5"/>
    </row>
    <row r="2" customFormat="false" ht="18" hidden="false" customHeight="true" outlineLevel="0" collapsed="false">
      <c r="B2" s="6" t="s">
        <v>27</v>
      </c>
      <c r="C2" s="6"/>
      <c r="D2" s="6"/>
      <c r="E2" s="6"/>
      <c r="F2" s="6"/>
      <c r="G2" s="6"/>
    </row>
    <row r="3" customFormat="false" ht="18" hidden="false" customHeight="true" outlineLevel="0" collapsed="false">
      <c r="B3" s="7" t="s">
        <v>28</v>
      </c>
      <c r="C3" s="8" t="s">
        <v>29</v>
      </c>
      <c r="D3" s="8"/>
      <c r="E3" s="9" t="s">
        <v>30</v>
      </c>
      <c r="F3" s="9"/>
      <c r="G3" s="9"/>
    </row>
    <row r="4" customFormat="false" ht="18" hidden="false" customHeight="true" outlineLevel="0" collapsed="false">
      <c r="B4" s="7" t="s">
        <v>31</v>
      </c>
      <c r="C4" s="8" t="s">
        <v>32</v>
      </c>
      <c r="D4" s="8"/>
      <c r="E4" s="9" t="s">
        <v>33</v>
      </c>
      <c r="F4" s="9"/>
      <c r="G4" s="9"/>
    </row>
    <row r="5" customFormat="false" ht="18" hidden="false" customHeight="true" outlineLevel="0" collapsed="false">
      <c r="B5" s="7" t="s">
        <v>34</v>
      </c>
      <c r="C5" s="8" t="s">
        <v>35</v>
      </c>
      <c r="D5" s="8"/>
    </row>
    <row r="6" customFormat="false" ht="18" hidden="false" customHeight="true" outlineLevel="0" collapsed="false">
      <c r="B6" s="7" t="s">
        <v>36</v>
      </c>
      <c r="C6" s="8" t="s">
        <v>37</v>
      </c>
      <c r="D6" s="8"/>
      <c r="E6" s="9" t="s">
        <v>38</v>
      </c>
      <c r="F6" s="9"/>
      <c r="G6" s="9"/>
    </row>
    <row r="7" customFormat="false" ht="18" hidden="false" customHeight="true" outlineLevel="0" collapsed="false">
      <c r="B7" s="7" t="s">
        <v>39</v>
      </c>
      <c r="C7" s="8" t="n">
        <v>1998</v>
      </c>
      <c r="D7" s="8"/>
    </row>
    <row r="8" customFormat="false" ht="18" hidden="false" customHeight="true" outlineLevel="0" collapsed="false">
      <c r="B8" s="7" t="s">
        <v>40</v>
      </c>
      <c r="C8" s="8" t="s">
        <v>41</v>
      </c>
      <c r="D8" s="8"/>
      <c r="E8" s="9" t="s">
        <v>42</v>
      </c>
      <c r="F8" s="9"/>
      <c r="G8" s="9"/>
    </row>
    <row r="9" customFormat="false" ht="18" hidden="false" customHeight="true" outlineLevel="0" collapsed="false">
      <c r="B9" s="7" t="s">
        <v>43</v>
      </c>
      <c r="C9" s="8" t="s">
        <v>44</v>
      </c>
      <c r="D9" s="8"/>
      <c r="E9" s="9" t="s">
        <v>45</v>
      </c>
      <c r="F9" s="9"/>
      <c r="G9" s="9"/>
    </row>
    <row r="10" customFormat="false" ht="18" hidden="false" customHeight="true" outlineLevel="0" collapsed="false">
      <c r="B10" s="7" t="s">
        <v>46</v>
      </c>
      <c r="C10" s="10" t="n">
        <v>46261</v>
      </c>
      <c r="D10" s="10"/>
    </row>
    <row r="11" customFormat="false" ht="18" hidden="false" customHeight="true" outlineLevel="0" collapsed="false">
      <c r="B11" s="7" t="s">
        <v>47</v>
      </c>
      <c r="C11" s="8"/>
      <c r="D11" s="8"/>
    </row>
    <row r="12" customFormat="false" ht="18" hidden="false" customHeight="true" outlineLevel="0" collapsed="false">
      <c r="B12" s="7" t="s">
        <v>48</v>
      </c>
      <c r="C12" s="8" t="s">
        <v>49</v>
      </c>
      <c r="D12" s="8"/>
      <c r="E12" s="9" t="s">
        <v>50</v>
      </c>
      <c r="F12" s="9"/>
      <c r="G12" s="9"/>
    </row>
    <row r="13" customFormat="false" ht="18" hidden="false" customHeight="true" outlineLevel="0" collapsed="false">
      <c r="B13" s="7" t="s">
        <v>51</v>
      </c>
      <c r="C13" s="8" t="s">
        <v>52</v>
      </c>
      <c r="D13" s="8"/>
      <c r="E13" s="9" t="s">
        <v>53</v>
      </c>
      <c r="F13" s="9"/>
      <c r="G13" s="9"/>
    </row>
    <row r="16" customFormat="false" ht="18" hidden="false" customHeight="true" outlineLevel="0" collapsed="false">
      <c r="B16" s="6" t="s">
        <v>54</v>
      </c>
      <c r="C16" s="6"/>
      <c r="D16" s="6"/>
      <c r="E16" s="6"/>
      <c r="F16" s="6"/>
      <c r="G16" s="6"/>
    </row>
    <row r="17" customFormat="false" ht="30" hidden="false" customHeight="true" outlineLevel="0" collapsed="false">
      <c r="B17" s="11" t="s">
        <v>55</v>
      </c>
      <c r="C17" s="11" t="s">
        <v>56</v>
      </c>
      <c r="D17" s="11" t="s">
        <v>57</v>
      </c>
      <c r="E17" s="11" t="s">
        <v>58</v>
      </c>
      <c r="F17" s="11" t="s">
        <v>59</v>
      </c>
      <c r="G17" s="11" t="s">
        <v>60</v>
      </c>
      <c r="H17" s="11" t="s">
        <v>61</v>
      </c>
    </row>
    <row r="18" customFormat="false" ht="18" hidden="false" customHeight="true" outlineLevel="0" collapsed="false">
      <c r="B18" s="12" t="s">
        <v>62</v>
      </c>
      <c r="C18" s="10" t="n">
        <v>35858</v>
      </c>
      <c r="D18" s="8" t="s">
        <v>63</v>
      </c>
      <c r="E18" s="8" t="s">
        <v>64</v>
      </c>
      <c r="F18" s="8" t="s">
        <v>65</v>
      </c>
      <c r="G18" s="8" t="s">
        <v>66</v>
      </c>
      <c r="H18" s="13" t="s">
        <v>67</v>
      </c>
    </row>
    <row r="19" customFormat="false" ht="18" hidden="false" customHeight="true" outlineLevel="0" collapsed="false">
      <c r="B19" s="12" t="s">
        <v>68</v>
      </c>
      <c r="C19" s="10" t="n">
        <v>36124</v>
      </c>
      <c r="D19" s="8" t="s">
        <v>69</v>
      </c>
      <c r="E19" s="8" t="s">
        <v>70</v>
      </c>
      <c r="F19" s="8" t="s">
        <v>71</v>
      </c>
      <c r="G19" s="8" t="s">
        <v>66</v>
      </c>
      <c r="H19" s="13" t="s">
        <v>67</v>
      </c>
    </row>
    <row r="20" customFormat="false" ht="18" hidden="false" customHeight="true" outlineLevel="0" collapsed="false">
      <c r="B20" s="12" t="s">
        <v>72</v>
      </c>
      <c r="C20" s="10" t="n">
        <v>35885</v>
      </c>
      <c r="D20" s="8" t="s">
        <v>63</v>
      </c>
      <c r="E20" s="8" t="s">
        <v>73</v>
      </c>
      <c r="F20" s="8" t="s">
        <v>65</v>
      </c>
      <c r="G20" s="8" t="s">
        <v>74</v>
      </c>
      <c r="H20" s="13"/>
    </row>
    <row r="21" customFormat="false" ht="18" hidden="false" customHeight="true" outlineLevel="0" collapsed="false">
      <c r="B21" s="12" t="s">
        <v>75</v>
      </c>
      <c r="C21" s="10" t="n">
        <v>35900</v>
      </c>
      <c r="D21" s="8" t="s">
        <v>69</v>
      </c>
      <c r="E21" s="8" t="s">
        <v>76</v>
      </c>
      <c r="F21" s="8" t="s">
        <v>65</v>
      </c>
      <c r="G21" s="8" t="s">
        <v>66</v>
      </c>
      <c r="H21" s="13"/>
    </row>
    <row r="22" customFormat="false" ht="18" hidden="false" customHeight="true" outlineLevel="0" collapsed="false">
      <c r="B22" s="12" t="s">
        <v>77</v>
      </c>
      <c r="C22" s="10" t="n">
        <v>36039</v>
      </c>
      <c r="D22" s="8" t="s">
        <v>63</v>
      </c>
      <c r="E22" s="14" t="s">
        <v>78</v>
      </c>
      <c r="F22" s="8" t="s">
        <v>65</v>
      </c>
      <c r="G22" s="8" t="s">
        <v>74</v>
      </c>
      <c r="H22" s="13" t="s">
        <v>79</v>
      </c>
    </row>
    <row r="23" customFormat="false" ht="18" hidden="false" customHeight="true" outlineLevel="0" collapsed="false">
      <c r="B23" s="15" t="s">
        <v>80</v>
      </c>
      <c r="C23" s="16" t="n">
        <v>36083</v>
      </c>
      <c r="D23" s="17" t="s">
        <v>63</v>
      </c>
      <c r="E23" s="17" t="s">
        <v>81</v>
      </c>
      <c r="F23" s="17" t="s">
        <v>65</v>
      </c>
      <c r="G23" s="17" t="s">
        <v>66</v>
      </c>
      <c r="H23" s="18"/>
    </row>
    <row r="24" customFormat="false" ht="18" hidden="false" customHeight="true" outlineLevel="0" collapsed="false">
      <c r="B24" s="19" t="s">
        <v>82</v>
      </c>
      <c r="C24" s="16" t="n">
        <v>35892</v>
      </c>
      <c r="D24" s="17" t="s">
        <v>63</v>
      </c>
      <c r="E24" s="17" t="s">
        <v>83</v>
      </c>
      <c r="F24" s="17" t="s">
        <v>65</v>
      </c>
      <c r="G24" s="17" t="s">
        <v>66</v>
      </c>
      <c r="H24" s="20"/>
    </row>
    <row r="25" customFormat="false" ht="18" hidden="false" customHeight="true" outlineLevel="0" collapsed="false">
      <c r="B25" s="21" t="s">
        <v>84</v>
      </c>
      <c r="C25" s="10"/>
      <c r="D25" s="8"/>
      <c r="E25" s="8"/>
      <c r="F25" s="8"/>
      <c r="G25" s="8"/>
      <c r="H25" s="20"/>
    </row>
    <row r="26" customFormat="false" ht="18" hidden="false" customHeight="true" outlineLevel="0" collapsed="false">
      <c r="B26" s="21" t="s">
        <v>85</v>
      </c>
      <c r="C26" s="10"/>
      <c r="D26" s="8"/>
      <c r="E26" s="8"/>
      <c r="F26" s="8"/>
      <c r="G26" s="8"/>
      <c r="H26" s="20"/>
    </row>
    <row r="27" customFormat="false" ht="18" hidden="false" customHeight="true" outlineLevel="0" collapsed="false">
      <c r="B27" s="22" t="s">
        <v>86</v>
      </c>
      <c r="C27" s="23"/>
      <c r="D27" s="24"/>
      <c r="E27" s="24"/>
      <c r="F27" s="24"/>
      <c r="G27" s="24"/>
      <c r="H27" s="18"/>
    </row>
    <row r="28" customFormat="false" ht="18" hidden="false" customHeight="true" outlineLevel="0" collapsed="false">
      <c r="B28" s="6" t="s">
        <v>87</v>
      </c>
      <c r="C28" s="6"/>
      <c r="D28" s="6"/>
      <c r="E28" s="6"/>
      <c r="F28" s="6"/>
      <c r="G28" s="6"/>
    </row>
    <row r="29" customFormat="false" ht="19.5" hidden="false" customHeight="true" outlineLevel="0" collapsed="false">
      <c r="B29" s="25" t="s">
        <v>88</v>
      </c>
      <c r="C29" s="25"/>
      <c r="D29" s="25"/>
      <c r="E29" s="26" t="str">
        <f aca="false">IF(COUNTIF(G18:G27,"1 (Top third)")&gt;=2,"✅ PASS","❌ FAIL — add top-third match")</f>
        <v>✅ PASS</v>
      </c>
      <c r="F29" s="26"/>
      <c r="G29" s="26"/>
    </row>
    <row r="30" customFormat="false" ht="19.5" hidden="false" customHeight="true" outlineLevel="0" collapsed="false">
      <c r="B30" s="25" t="s">
        <v>89</v>
      </c>
      <c r="C30" s="25"/>
      <c r="D30" s="25"/>
      <c r="E30" s="26" t="str">
        <f aca="false">IF(COUNTIF(D18:D27,"Away")&gt;=1,"✅ PASS","❌ FAIL — add away match")</f>
        <v>✅ PASS</v>
      </c>
      <c r="F30" s="26"/>
      <c r="G30" s="26"/>
    </row>
    <row r="31" customFormat="false" ht="19.5" hidden="false" customHeight="true" outlineLevel="0" collapsed="false">
      <c r="B31" s="25" t="s">
        <v>90</v>
      </c>
      <c r="C31" s="25"/>
      <c r="D31" s="25"/>
      <c r="E31" s="26" t="str">
        <f aca="false">IF(COUNTIF(F18:F27,"Losing")&gt;=1,"✅ PASS","❌ FAIL — add match when team was losing")</f>
        <v>✅ PASS</v>
      </c>
      <c r="F31" s="26"/>
      <c r="G31" s="26"/>
    </row>
    <row r="32" customFormat="false" ht="19.5" hidden="false" customHeight="true" outlineLevel="0" collapsed="false">
      <c r="B32" s="25" t="s">
        <v>91</v>
      </c>
      <c r="C32" s="25"/>
      <c r="D32" s="25"/>
      <c r="E32" s="26" t="str">
        <f aca="false">IF(COUNTA(C18:C27)&gt;=5,"✅ PASS","❌ FAIL — "&amp;(5-COUNTA(C18:C27))&amp;" more match(es) needed")</f>
        <v>✅ PASS</v>
      </c>
      <c r="F32" s="26"/>
      <c r="G32" s="26"/>
    </row>
    <row r="34" customFormat="false" ht="24" hidden="false" customHeight="true" outlineLevel="0" collapsed="false">
      <c r="B34" s="27" t="s">
        <v>92</v>
      </c>
      <c r="C34" s="27"/>
      <c r="D34" s="27"/>
      <c r="E34" s="28" t="str">
        <f aca="false">IF(AND(COUNTIF(G18:G27,"1 (Top third)")&gt;=2,COUNTIF(D18:D27,"Away")&gt;=1,COUNTIF(F18:F27,"Losing")&gt;=1,COUNTA(C18:C27)&gt;=5),"✅ READY TO SCORE","❌ NOT READY — check balance above")</f>
        <v>✅ READY TO SCORE</v>
      </c>
      <c r="F34" s="28"/>
      <c r="G34" s="28"/>
    </row>
  </sheetData>
  <mergeCells count="32">
    <mergeCell ref="A1:G1"/>
    <mergeCell ref="B2:G2"/>
    <mergeCell ref="C3:D3"/>
    <mergeCell ref="E3:G3"/>
    <mergeCell ref="C4:D4"/>
    <mergeCell ref="E4:G4"/>
    <mergeCell ref="C5:D5"/>
    <mergeCell ref="C6:D6"/>
    <mergeCell ref="E6:G6"/>
    <mergeCell ref="C7:D7"/>
    <mergeCell ref="C8:D8"/>
    <mergeCell ref="E8:G8"/>
    <mergeCell ref="C9:D9"/>
    <mergeCell ref="E9:G9"/>
    <mergeCell ref="C10:D10"/>
    <mergeCell ref="C11:D11"/>
    <mergeCell ref="C12:D12"/>
    <mergeCell ref="E12:G12"/>
    <mergeCell ref="C13:D13"/>
    <mergeCell ref="E13:G13"/>
    <mergeCell ref="B16:G16"/>
    <mergeCell ref="B28:G28"/>
    <mergeCell ref="B29:D29"/>
    <mergeCell ref="E29:G29"/>
    <mergeCell ref="B30:D30"/>
    <mergeCell ref="E30:G30"/>
    <mergeCell ref="B31:D31"/>
    <mergeCell ref="E31:G31"/>
    <mergeCell ref="B32:D32"/>
    <mergeCell ref="E32:G32"/>
    <mergeCell ref="B34:D34"/>
    <mergeCell ref="E34:G34"/>
  </mergeCells>
  <dataValidations count="3">
    <dataValidation allowBlank="true" errorStyle="stop" operator="between" showDropDown="false" showErrorMessage="false" showInputMessage="false" sqref="D18:D27" type="list">
      <formula1>"Home,Away,Neutral"</formula1>
      <formula2>0</formula2>
    </dataValidation>
    <dataValidation allowBlank="true" errorStyle="stop" operator="between" showDropDown="false" showErrorMessage="false" showInputMessage="false" sqref="F18:F27" type="list">
      <formula1>"Winning,Losing,Drawing,Varied"</formula1>
      <formula2>0</formula2>
    </dataValidation>
    <dataValidation allowBlank="true" errorStyle="stop" operator="between" showDropDown="false" showErrorMessage="false" showInputMessage="false" sqref="G18:G27" type="list">
      <formula1>"1 (Top third),2 (Middle third),3 (Bottom third)"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6B3A"/>
    <pageSetUpPr fitToPage="false"/>
  </sheetPr>
  <dimension ref="A1:V300"/>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pane xSplit="0" ySplit="3" topLeftCell="A233" activePane="bottomLeft" state="frozen"/>
      <selection pane="topLeft" activeCell="B1" activeCellId="0" sqref="B1"/>
      <selection pane="bottomLeft" activeCell="C239" activeCellId="0" sqref="C239"/>
    </sheetView>
  </sheetViews>
  <sheetFormatPr defaultColWidth="8.66796875" defaultRowHeight="14.25" customHeight="false"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14"/>
    <col collapsed="false" customWidth="true" hidden="false" outlineLevel="0" max="4" min="4" style="0" width="10"/>
    <col collapsed="false" customWidth="true" hidden="false" outlineLevel="0" max="5" min="5" style="0" width="216.21"/>
    <col collapsed="false" customWidth="true" hidden="false" outlineLevel="0" max="6" min="6" style="0" width="6.22"/>
    <col collapsed="false" customWidth="true" hidden="false" outlineLevel="0" max="7" min="7" style="0" width="20"/>
    <col collapsed="false" customWidth="true" hidden="false" outlineLevel="0" max="8" min="8" style="0" width="8"/>
    <col collapsed="false" customWidth="true" hidden="false" outlineLevel="0" max="9" min="9" style="0" width="8.77"/>
  </cols>
  <sheetData>
    <row r="1" customFormat="false" ht="30" hidden="false" customHeight="true" outlineLevel="0" collapsed="false">
      <c r="A1" s="29" t="s">
        <v>93</v>
      </c>
      <c r="B1" s="29"/>
      <c r="C1" s="29"/>
      <c r="D1" s="29"/>
      <c r="E1" s="29"/>
      <c r="F1" s="29"/>
      <c r="G1" s="29"/>
      <c r="H1" s="29"/>
      <c r="I1" s="30"/>
    </row>
    <row r="2" customFormat="false" ht="19.5" hidden="false" customHeight="true" outlineLevel="0" collapsed="false">
      <c r="A2" s="31" t="s">
        <v>94</v>
      </c>
      <c r="B2" s="31"/>
      <c r="C2" s="31"/>
      <c r="D2" s="31"/>
      <c r="E2" s="31"/>
      <c r="F2" s="31"/>
      <c r="G2" s="31"/>
      <c r="H2" s="31"/>
      <c r="I2" s="32"/>
    </row>
    <row r="3" customFormat="false" ht="30" hidden="false" customHeight="true" outlineLevel="0" collapsed="false">
      <c r="A3" s="33" t="s">
        <v>95</v>
      </c>
      <c r="B3" s="33" t="s">
        <v>96</v>
      </c>
      <c r="C3" s="33" t="s">
        <v>97</v>
      </c>
      <c r="D3" s="33" t="s">
        <v>98</v>
      </c>
      <c r="E3" s="33" t="s">
        <v>99</v>
      </c>
      <c r="F3" s="33" t="s">
        <v>100</v>
      </c>
      <c r="G3" s="33" t="s">
        <v>101</v>
      </c>
      <c r="H3" s="34" t="s">
        <v>102</v>
      </c>
      <c r="I3" s="35" t="s">
        <v>103</v>
      </c>
    </row>
    <row r="4" customFormat="false" ht="19.5" hidden="false" customHeight="true" outlineLevel="0" collapsed="false">
      <c r="A4" s="36" t="s">
        <v>104</v>
      </c>
      <c r="B4" s="36"/>
      <c r="C4" s="36"/>
      <c r="D4" s="36"/>
      <c r="E4" s="36"/>
      <c r="F4" s="36"/>
      <c r="G4" s="36"/>
      <c r="H4" s="36"/>
      <c r="I4" s="37"/>
    </row>
    <row r="5" customFormat="false" ht="15.75" hidden="false" customHeight="true" outlineLevel="0" collapsed="false">
      <c r="A5" s="38" t="n">
        <v>1</v>
      </c>
      <c r="B5" s="39" t="n">
        <v>2</v>
      </c>
      <c r="C5" s="40" t="s">
        <v>105</v>
      </c>
      <c r="D5" s="41" t="s">
        <v>106</v>
      </c>
      <c r="E5" s="42" t="s">
        <v>107</v>
      </c>
      <c r="F5" s="43" t="n">
        <v>9</v>
      </c>
      <c r="G5" s="44" t="s">
        <v>108</v>
      </c>
      <c r="H5" s="45" t="s">
        <v>49</v>
      </c>
      <c r="I5" s="46"/>
    </row>
    <row r="6" customFormat="false" ht="15.75" hidden="false" customHeight="true" outlineLevel="0" collapsed="false">
      <c r="A6" s="38" t="n">
        <v>2</v>
      </c>
      <c r="B6" s="39" t="n">
        <v>2</v>
      </c>
      <c r="C6" s="39" t="s">
        <v>109</v>
      </c>
      <c r="D6" s="41" t="s">
        <v>106</v>
      </c>
      <c r="E6" s="42" t="s">
        <v>107</v>
      </c>
      <c r="F6" s="43" t="n">
        <v>6</v>
      </c>
      <c r="G6" s="44" t="s">
        <v>108</v>
      </c>
      <c r="H6" s="45" t="s">
        <v>49</v>
      </c>
      <c r="I6" s="47"/>
    </row>
    <row r="7" customFormat="false" ht="15.75" hidden="false" customHeight="true" outlineLevel="0" collapsed="false">
      <c r="A7" s="38" t="n">
        <v>3</v>
      </c>
      <c r="B7" s="39" t="n">
        <v>2</v>
      </c>
      <c r="C7" s="40" t="s">
        <v>110</v>
      </c>
      <c r="D7" s="41" t="s">
        <v>106</v>
      </c>
      <c r="E7" s="42" t="s">
        <v>107</v>
      </c>
      <c r="F7" s="43" t="n">
        <v>6</v>
      </c>
      <c r="G7" s="44" t="s">
        <v>108</v>
      </c>
      <c r="H7" s="45" t="s">
        <v>49</v>
      </c>
      <c r="I7" s="47"/>
    </row>
    <row r="8" customFormat="false" ht="15.75" hidden="false" customHeight="true" outlineLevel="0" collapsed="false">
      <c r="A8" s="38" t="n">
        <v>4</v>
      </c>
      <c r="B8" s="39" t="n">
        <v>2</v>
      </c>
      <c r="C8" s="39" t="s">
        <v>111</v>
      </c>
      <c r="D8" s="41" t="s">
        <v>112</v>
      </c>
      <c r="E8" s="42" t="s">
        <v>113</v>
      </c>
      <c r="F8" s="43" t="n">
        <v>8</v>
      </c>
      <c r="G8" s="44" t="s">
        <v>108</v>
      </c>
      <c r="H8" s="45" t="s">
        <v>49</v>
      </c>
      <c r="I8" s="47"/>
    </row>
    <row r="9" customFormat="false" ht="15.75" hidden="false" customHeight="true" outlineLevel="0" collapsed="false">
      <c r="A9" s="38" t="n">
        <v>5</v>
      </c>
      <c r="B9" s="39" t="n">
        <v>2</v>
      </c>
      <c r="C9" s="40" t="s">
        <v>110</v>
      </c>
      <c r="D9" s="41" t="s">
        <v>112</v>
      </c>
      <c r="E9" s="42" t="s">
        <v>113</v>
      </c>
      <c r="F9" s="43" t="n">
        <v>8</v>
      </c>
      <c r="G9" s="44" t="s">
        <v>108</v>
      </c>
      <c r="H9" s="45" t="s">
        <v>49</v>
      </c>
      <c r="I9" s="47"/>
    </row>
    <row r="10" customFormat="false" ht="15.75" hidden="false" customHeight="true" outlineLevel="0" collapsed="false">
      <c r="A10" s="38" t="n">
        <v>6</v>
      </c>
      <c r="B10" s="39" t="n">
        <v>2</v>
      </c>
      <c r="C10" s="40" t="s">
        <v>114</v>
      </c>
      <c r="D10" s="41" t="s">
        <v>112</v>
      </c>
      <c r="E10" s="42" t="s">
        <v>113</v>
      </c>
      <c r="F10" s="43" t="n">
        <v>8</v>
      </c>
      <c r="G10" s="44" t="s">
        <v>108</v>
      </c>
      <c r="H10" s="45" t="s">
        <v>49</v>
      </c>
      <c r="I10" s="47"/>
    </row>
    <row r="11" customFormat="false" ht="15.75" hidden="false" customHeight="true" outlineLevel="0" collapsed="false">
      <c r="A11" s="38" t="n">
        <v>7</v>
      </c>
      <c r="B11" s="39" t="n">
        <v>2</v>
      </c>
      <c r="C11" s="40" t="s">
        <v>115</v>
      </c>
      <c r="D11" s="41" t="s">
        <v>112</v>
      </c>
      <c r="E11" s="42" t="s">
        <v>113</v>
      </c>
      <c r="F11" s="43" t="n">
        <v>8</v>
      </c>
      <c r="G11" s="44" t="s">
        <v>108</v>
      </c>
      <c r="H11" s="45" t="s">
        <v>49</v>
      </c>
      <c r="I11" s="47"/>
    </row>
    <row r="12" customFormat="false" ht="15.75" hidden="false" customHeight="true" outlineLevel="0" collapsed="false">
      <c r="A12" s="38" t="n">
        <v>8</v>
      </c>
      <c r="B12" s="39" t="n">
        <v>2</v>
      </c>
      <c r="C12" s="39" t="s">
        <v>116</v>
      </c>
      <c r="D12" s="41" t="s">
        <v>112</v>
      </c>
      <c r="E12" s="42" t="s">
        <v>113</v>
      </c>
      <c r="F12" s="43" t="n">
        <v>6</v>
      </c>
      <c r="G12" s="44" t="s">
        <v>108</v>
      </c>
      <c r="H12" s="45" t="s">
        <v>49</v>
      </c>
      <c r="I12" s="47"/>
    </row>
    <row r="13" customFormat="false" ht="15.75" hidden="false" customHeight="true" outlineLevel="0" collapsed="false">
      <c r="A13" s="38" t="n">
        <v>9</v>
      </c>
      <c r="B13" s="39" t="n">
        <v>2</v>
      </c>
      <c r="C13" s="40" t="s">
        <v>117</v>
      </c>
      <c r="D13" s="41" t="s">
        <v>118</v>
      </c>
      <c r="E13" s="42" t="s">
        <v>119</v>
      </c>
      <c r="F13" s="43" t="n">
        <v>8</v>
      </c>
      <c r="G13" s="44" t="s">
        <v>108</v>
      </c>
      <c r="H13" s="45" t="s">
        <v>49</v>
      </c>
      <c r="I13" s="47"/>
    </row>
    <row r="14" customFormat="false" ht="15.75" hidden="false" customHeight="true" outlineLevel="0" collapsed="false">
      <c r="A14" s="38" t="n">
        <v>10</v>
      </c>
      <c r="B14" s="39" t="n">
        <v>2</v>
      </c>
      <c r="C14" s="39" t="s">
        <v>120</v>
      </c>
      <c r="D14" s="41" t="s">
        <v>118</v>
      </c>
      <c r="E14" s="42" t="s">
        <v>119</v>
      </c>
      <c r="F14" s="43" t="n">
        <v>8</v>
      </c>
      <c r="G14" s="44" t="s">
        <v>108</v>
      </c>
      <c r="H14" s="45" t="s">
        <v>49</v>
      </c>
      <c r="I14" s="47"/>
    </row>
    <row r="15" customFormat="false" ht="15.75" hidden="false" customHeight="true" outlineLevel="0" collapsed="false">
      <c r="A15" s="38" t="n">
        <v>11</v>
      </c>
      <c r="B15" s="39" t="n">
        <v>2</v>
      </c>
      <c r="C15" s="40" t="s">
        <v>121</v>
      </c>
      <c r="D15" s="41" t="s">
        <v>122</v>
      </c>
      <c r="E15" s="42" t="s">
        <v>123</v>
      </c>
      <c r="F15" s="43" t="n">
        <v>8</v>
      </c>
      <c r="G15" s="44" t="s">
        <v>108</v>
      </c>
      <c r="H15" s="45" t="s">
        <v>49</v>
      </c>
      <c r="I15" s="47"/>
    </row>
    <row r="16" customFormat="false" ht="15.75" hidden="false" customHeight="true" outlineLevel="0" collapsed="false">
      <c r="A16" s="38" t="n">
        <v>12</v>
      </c>
      <c r="B16" s="39" t="n">
        <v>2</v>
      </c>
      <c r="C16" s="40" t="s">
        <v>110</v>
      </c>
      <c r="D16" s="41" t="s">
        <v>122</v>
      </c>
      <c r="E16" s="42" t="s">
        <v>123</v>
      </c>
      <c r="F16" s="43" t="n">
        <v>4</v>
      </c>
      <c r="G16" s="44" t="s">
        <v>108</v>
      </c>
      <c r="H16" s="45" t="s">
        <v>49</v>
      </c>
      <c r="I16" s="47"/>
    </row>
    <row r="17" customFormat="false" ht="15.75" hidden="false" customHeight="true" outlineLevel="0" collapsed="false">
      <c r="A17" s="38" t="n">
        <v>13</v>
      </c>
      <c r="B17" s="39" t="n">
        <v>2</v>
      </c>
      <c r="C17" s="40" t="s">
        <v>124</v>
      </c>
      <c r="D17" s="41" t="s">
        <v>122</v>
      </c>
      <c r="E17" s="42" t="s">
        <v>123</v>
      </c>
      <c r="F17" s="43" t="n">
        <v>4</v>
      </c>
      <c r="G17" s="44" t="s">
        <v>108</v>
      </c>
      <c r="H17" s="45" t="s">
        <v>49</v>
      </c>
      <c r="I17" s="47"/>
    </row>
    <row r="18" customFormat="false" ht="15.75" hidden="false" customHeight="true" outlineLevel="0" collapsed="false">
      <c r="A18" s="38" t="n">
        <v>14</v>
      </c>
      <c r="B18" s="39" t="n">
        <v>2</v>
      </c>
      <c r="C18" s="40" t="s">
        <v>125</v>
      </c>
      <c r="D18" s="41" t="s">
        <v>122</v>
      </c>
      <c r="E18" s="42" t="s">
        <v>123</v>
      </c>
      <c r="F18" s="43" t="n">
        <v>4</v>
      </c>
      <c r="G18" s="44" t="s">
        <v>108</v>
      </c>
      <c r="H18" s="45" t="s">
        <v>49</v>
      </c>
      <c r="I18" s="47"/>
    </row>
    <row r="19" customFormat="false" ht="15.75" hidden="false" customHeight="true" outlineLevel="0" collapsed="false">
      <c r="A19" s="38" t="n">
        <v>15</v>
      </c>
      <c r="B19" s="39" t="n">
        <v>3</v>
      </c>
      <c r="C19" s="40" t="s">
        <v>110</v>
      </c>
      <c r="D19" s="41" t="s">
        <v>126</v>
      </c>
      <c r="E19" s="42" t="s">
        <v>127</v>
      </c>
      <c r="F19" s="43" t="s">
        <v>128</v>
      </c>
      <c r="G19" s="44" t="s">
        <v>108</v>
      </c>
      <c r="H19" s="45" t="s">
        <v>49</v>
      </c>
      <c r="I19" s="47"/>
    </row>
    <row r="20" customFormat="false" ht="15.75" hidden="false" customHeight="true" outlineLevel="0" collapsed="false">
      <c r="A20" s="38" t="n">
        <v>16</v>
      </c>
      <c r="B20" s="39" t="n">
        <v>3</v>
      </c>
      <c r="C20" s="39" t="s">
        <v>129</v>
      </c>
      <c r="D20" s="41" t="s">
        <v>130</v>
      </c>
      <c r="E20" s="42" t="s">
        <v>127</v>
      </c>
      <c r="F20" s="43" t="s">
        <v>128</v>
      </c>
      <c r="G20" s="44" t="s">
        <v>108</v>
      </c>
      <c r="H20" s="45" t="s">
        <v>49</v>
      </c>
      <c r="I20" s="47"/>
    </row>
    <row r="21" customFormat="false" ht="15.75" hidden="false" customHeight="true" outlineLevel="0" collapsed="false">
      <c r="A21" s="38" t="n">
        <v>17</v>
      </c>
      <c r="B21" s="39" t="n">
        <v>3</v>
      </c>
      <c r="C21" s="40" t="s">
        <v>109</v>
      </c>
      <c r="D21" s="41" t="s">
        <v>126</v>
      </c>
      <c r="E21" s="42" t="s">
        <v>127</v>
      </c>
      <c r="F21" s="43" t="s">
        <v>128</v>
      </c>
      <c r="G21" s="44" t="s">
        <v>108</v>
      </c>
      <c r="H21" s="45" t="s">
        <v>49</v>
      </c>
      <c r="I21" s="47"/>
    </row>
    <row r="22" customFormat="false" ht="15.75" hidden="false" customHeight="true" outlineLevel="0" collapsed="false">
      <c r="A22" s="38" t="n">
        <v>18</v>
      </c>
      <c r="B22" s="39" t="n">
        <v>1</v>
      </c>
      <c r="C22" s="39" t="s">
        <v>131</v>
      </c>
      <c r="D22" s="41" t="s">
        <v>132</v>
      </c>
      <c r="E22" s="42" t="s">
        <v>133</v>
      </c>
      <c r="F22" s="43" t="n">
        <v>5</v>
      </c>
      <c r="G22" s="44" t="s">
        <v>108</v>
      </c>
      <c r="H22" s="45" t="s">
        <v>49</v>
      </c>
      <c r="I22" s="47"/>
    </row>
    <row r="23" customFormat="false" ht="15.75" hidden="false" customHeight="true" outlineLevel="0" collapsed="false">
      <c r="A23" s="38" t="n">
        <v>19</v>
      </c>
      <c r="B23" s="39" t="n">
        <v>1</v>
      </c>
      <c r="C23" s="40" t="s">
        <v>134</v>
      </c>
      <c r="D23" s="41" t="s">
        <v>132</v>
      </c>
      <c r="E23" s="42" t="s">
        <v>133</v>
      </c>
      <c r="F23" s="43" t="n">
        <v>5</v>
      </c>
      <c r="G23" s="44" t="s">
        <v>108</v>
      </c>
      <c r="H23" s="45" t="s">
        <v>49</v>
      </c>
      <c r="I23" s="48"/>
    </row>
    <row r="24" customFormat="false" ht="19.5" hidden="false" customHeight="true" outlineLevel="0" collapsed="false">
      <c r="A24" s="36" t="s">
        <v>135</v>
      </c>
      <c r="B24" s="36"/>
      <c r="C24" s="36"/>
      <c r="D24" s="36"/>
      <c r="E24" s="36"/>
      <c r="F24" s="36"/>
      <c r="G24" s="36"/>
      <c r="H24" s="36"/>
      <c r="I24" s="49"/>
    </row>
    <row r="25" customFormat="false" ht="15.75" hidden="false" customHeight="true" outlineLevel="0" collapsed="false">
      <c r="A25" s="38" t="n">
        <v>20</v>
      </c>
      <c r="B25" s="39" t="n">
        <v>1</v>
      </c>
      <c r="C25" s="39" t="s">
        <v>131</v>
      </c>
      <c r="D25" s="41" t="s">
        <v>136</v>
      </c>
      <c r="E25" s="42" t="s">
        <v>137</v>
      </c>
      <c r="F25" s="43" t="n">
        <v>9</v>
      </c>
      <c r="G25" s="44" t="s">
        <v>108</v>
      </c>
      <c r="H25" s="45" t="s">
        <v>49</v>
      </c>
      <c r="I25" s="46"/>
    </row>
    <row r="26" customFormat="false" ht="15.75" hidden="false" customHeight="true" outlineLevel="0" collapsed="false">
      <c r="A26" s="38" t="n">
        <v>21</v>
      </c>
      <c r="B26" s="39" t="n">
        <v>1</v>
      </c>
      <c r="C26" s="40" t="s">
        <v>138</v>
      </c>
      <c r="D26" s="41" t="s">
        <v>136</v>
      </c>
      <c r="E26" s="42" t="s">
        <v>137</v>
      </c>
      <c r="F26" s="43" t="n">
        <v>9</v>
      </c>
      <c r="G26" s="44" t="s">
        <v>108</v>
      </c>
      <c r="H26" s="45" t="s">
        <v>49</v>
      </c>
      <c r="I26" s="47"/>
    </row>
    <row r="27" customFormat="false" ht="15.75" hidden="false" customHeight="true" outlineLevel="0" collapsed="false">
      <c r="A27" s="38" t="n">
        <v>22</v>
      </c>
      <c r="B27" s="39" t="n">
        <v>1</v>
      </c>
      <c r="C27" s="40" t="s">
        <v>111</v>
      </c>
      <c r="D27" s="41" t="s">
        <v>136</v>
      </c>
      <c r="E27" s="42" t="s">
        <v>137</v>
      </c>
      <c r="F27" s="43" t="n">
        <v>9</v>
      </c>
      <c r="G27" s="44" t="s">
        <v>108</v>
      </c>
      <c r="H27" s="45" t="s">
        <v>49</v>
      </c>
      <c r="I27" s="47"/>
    </row>
    <row r="28" customFormat="false" ht="15.75" hidden="false" customHeight="true" outlineLevel="0" collapsed="false">
      <c r="A28" s="38" t="n">
        <v>23</v>
      </c>
      <c r="B28" s="39" t="n">
        <v>1</v>
      </c>
      <c r="C28" s="40" t="s">
        <v>117</v>
      </c>
      <c r="D28" s="41" t="s">
        <v>139</v>
      </c>
      <c r="E28" s="42" t="s">
        <v>140</v>
      </c>
      <c r="F28" s="43" t="n">
        <v>9</v>
      </c>
      <c r="G28" s="44" t="s">
        <v>108</v>
      </c>
      <c r="H28" s="45" t="s">
        <v>49</v>
      </c>
      <c r="I28" s="47"/>
    </row>
    <row r="29" customFormat="false" ht="15.75" hidden="false" customHeight="true" outlineLevel="0" collapsed="false">
      <c r="A29" s="38" t="n">
        <v>24</v>
      </c>
      <c r="B29" s="39" t="n">
        <v>1</v>
      </c>
      <c r="C29" s="39" t="s">
        <v>120</v>
      </c>
      <c r="D29" s="41" t="s">
        <v>139</v>
      </c>
      <c r="E29" s="42" t="s">
        <v>140</v>
      </c>
      <c r="F29" s="43" t="n">
        <v>9</v>
      </c>
      <c r="G29" s="44" t="s">
        <v>108</v>
      </c>
      <c r="H29" s="45" t="s">
        <v>49</v>
      </c>
      <c r="I29" s="47"/>
    </row>
    <row r="30" customFormat="false" ht="15.75" hidden="false" customHeight="true" outlineLevel="0" collapsed="false">
      <c r="A30" s="38" t="n">
        <v>25</v>
      </c>
      <c r="B30" s="39" t="n">
        <v>1</v>
      </c>
      <c r="C30" s="40" t="s">
        <v>125</v>
      </c>
      <c r="D30" s="41" t="s">
        <v>139</v>
      </c>
      <c r="E30" s="42" t="s">
        <v>140</v>
      </c>
      <c r="F30" s="43" t="n">
        <v>9</v>
      </c>
      <c r="G30" s="44" t="s">
        <v>108</v>
      </c>
      <c r="H30" s="45" t="s">
        <v>49</v>
      </c>
      <c r="I30" s="47"/>
    </row>
    <row r="31" customFormat="false" ht="15.75" hidden="false" customHeight="true" outlineLevel="0" collapsed="false">
      <c r="A31" s="38" t="n">
        <v>26</v>
      </c>
      <c r="B31" s="39" t="n">
        <v>1</v>
      </c>
      <c r="C31" s="39" t="s">
        <v>124</v>
      </c>
      <c r="D31" s="41" t="s">
        <v>139</v>
      </c>
      <c r="E31" s="42" t="s">
        <v>140</v>
      </c>
      <c r="F31" s="43" t="n">
        <v>9</v>
      </c>
      <c r="G31" s="44" t="s">
        <v>108</v>
      </c>
      <c r="H31" s="45" t="s">
        <v>49</v>
      </c>
      <c r="I31" s="47"/>
    </row>
    <row r="32" customFormat="false" ht="15.75" hidden="false" customHeight="true" outlineLevel="0" collapsed="false">
      <c r="A32" s="38" t="n">
        <v>27</v>
      </c>
      <c r="B32" s="39" t="n">
        <v>1</v>
      </c>
      <c r="C32" s="40" t="s">
        <v>114</v>
      </c>
      <c r="D32" s="41" t="s">
        <v>141</v>
      </c>
      <c r="E32" s="42" t="s">
        <v>142</v>
      </c>
      <c r="F32" s="43" t="n">
        <v>6</v>
      </c>
      <c r="G32" s="44" t="s">
        <v>108</v>
      </c>
      <c r="H32" s="45" t="s">
        <v>49</v>
      </c>
      <c r="I32" s="47"/>
    </row>
    <row r="33" customFormat="false" ht="15.75" hidden="false" customHeight="true" outlineLevel="0" collapsed="false">
      <c r="A33" s="38" t="n">
        <v>28</v>
      </c>
      <c r="B33" s="39" t="n">
        <v>1</v>
      </c>
      <c r="C33" s="39" t="s">
        <v>143</v>
      </c>
      <c r="D33" s="41" t="s">
        <v>144</v>
      </c>
      <c r="E33" s="42" t="s">
        <v>145</v>
      </c>
      <c r="F33" s="43" t="n">
        <v>9</v>
      </c>
      <c r="G33" s="44" t="s">
        <v>108</v>
      </c>
      <c r="H33" s="45" t="s">
        <v>49</v>
      </c>
      <c r="I33" s="47"/>
    </row>
    <row r="34" customFormat="false" ht="15.75" hidden="false" customHeight="true" outlineLevel="0" collapsed="false">
      <c r="A34" s="38" t="n">
        <v>29</v>
      </c>
      <c r="B34" s="39" t="n">
        <v>1</v>
      </c>
      <c r="C34" s="40" t="s">
        <v>146</v>
      </c>
      <c r="D34" s="41" t="s">
        <v>144</v>
      </c>
      <c r="E34" s="42" t="s">
        <v>145</v>
      </c>
      <c r="F34" s="43" t="n">
        <v>9</v>
      </c>
      <c r="G34" s="44" t="s">
        <v>108</v>
      </c>
      <c r="H34" s="45" t="s">
        <v>49</v>
      </c>
      <c r="I34" s="47"/>
    </row>
    <row r="35" customFormat="false" ht="15.75" hidden="false" customHeight="true" outlineLevel="0" collapsed="false">
      <c r="A35" s="38" t="n">
        <v>30</v>
      </c>
      <c r="B35" s="39" t="n">
        <v>1</v>
      </c>
      <c r="C35" s="39" t="s">
        <v>147</v>
      </c>
      <c r="D35" s="41" t="s">
        <v>144</v>
      </c>
      <c r="E35" s="42" t="s">
        <v>145</v>
      </c>
      <c r="F35" s="43" t="n">
        <v>9</v>
      </c>
      <c r="G35" s="44" t="s">
        <v>108</v>
      </c>
      <c r="H35" s="45" t="s">
        <v>49</v>
      </c>
      <c r="I35" s="47"/>
    </row>
    <row r="36" customFormat="false" ht="15.75" hidden="false" customHeight="true" outlineLevel="0" collapsed="false">
      <c r="A36" s="38" t="n">
        <v>31</v>
      </c>
      <c r="B36" s="39" t="n">
        <v>1</v>
      </c>
      <c r="C36" s="40" t="s">
        <v>148</v>
      </c>
      <c r="D36" s="41" t="s">
        <v>144</v>
      </c>
      <c r="E36" s="42" t="s">
        <v>145</v>
      </c>
      <c r="F36" s="43" t="n">
        <v>9</v>
      </c>
      <c r="G36" s="44" t="s">
        <v>108</v>
      </c>
      <c r="H36" s="45" t="s">
        <v>49</v>
      </c>
      <c r="I36" s="47"/>
    </row>
    <row r="37" customFormat="false" ht="15.75" hidden="false" customHeight="true" outlineLevel="0" collapsed="false">
      <c r="A37" s="38" t="n">
        <v>32</v>
      </c>
      <c r="B37" s="39" t="n">
        <v>1</v>
      </c>
      <c r="C37" s="40" t="s">
        <v>109</v>
      </c>
      <c r="D37" s="41" t="s">
        <v>149</v>
      </c>
      <c r="E37" s="42" t="s">
        <v>150</v>
      </c>
      <c r="F37" s="43" t="n">
        <v>9</v>
      </c>
      <c r="G37" s="44" t="s">
        <v>108</v>
      </c>
      <c r="H37" s="45" t="s">
        <v>49</v>
      </c>
      <c r="I37" s="47"/>
    </row>
    <row r="38" customFormat="false" ht="15.75" hidden="false" customHeight="true" outlineLevel="0" collapsed="false">
      <c r="A38" s="38" t="n">
        <v>33</v>
      </c>
      <c r="B38" s="39" t="n">
        <v>1</v>
      </c>
      <c r="C38" s="40" t="s">
        <v>110</v>
      </c>
      <c r="D38" s="41" t="s">
        <v>149</v>
      </c>
      <c r="E38" s="42" t="s">
        <v>150</v>
      </c>
      <c r="F38" s="43" t="n">
        <v>9</v>
      </c>
      <c r="G38" s="44" t="s">
        <v>108</v>
      </c>
      <c r="H38" s="45" t="s">
        <v>49</v>
      </c>
      <c r="I38" s="47"/>
    </row>
    <row r="39" customFormat="false" ht="15.75" hidden="false" customHeight="true" outlineLevel="0" collapsed="false">
      <c r="A39" s="38" t="n">
        <v>34</v>
      </c>
      <c r="B39" s="39" t="n">
        <v>1</v>
      </c>
      <c r="C39" s="40" t="s">
        <v>129</v>
      </c>
      <c r="D39" s="41" t="s">
        <v>149</v>
      </c>
      <c r="E39" s="42" t="s">
        <v>150</v>
      </c>
      <c r="F39" s="43" t="n">
        <v>9</v>
      </c>
      <c r="G39" s="44" t="s">
        <v>108</v>
      </c>
      <c r="H39" s="45" t="s">
        <v>49</v>
      </c>
      <c r="I39" s="47"/>
    </row>
    <row r="40" customFormat="false" ht="15.75" hidden="false" customHeight="true" outlineLevel="0" collapsed="false">
      <c r="A40" s="38" t="n">
        <v>35</v>
      </c>
      <c r="B40" s="39" t="n">
        <v>1</v>
      </c>
      <c r="C40" s="40" t="s">
        <v>151</v>
      </c>
      <c r="D40" s="41" t="s">
        <v>149</v>
      </c>
      <c r="E40" s="42" t="s">
        <v>150</v>
      </c>
      <c r="F40" s="43" t="n">
        <v>9</v>
      </c>
      <c r="G40" s="44" t="s">
        <v>108</v>
      </c>
      <c r="H40" s="45" t="s">
        <v>49</v>
      </c>
      <c r="I40" s="47"/>
    </row>
    <row r="41" customFormat="false" ht="15.75" hidden="false" customHeight="true" outlineLevel="0" collapsed="false">
      <c r="A41" s="38" t="n">
        <v>36</v>
      </c>
      <c r="B41" s="39" t="n">
        <v>1</v>
      </c>
      <c r="C41" s="39" t="s">
        <v>131</v>
      </c>
      <c r="D41" s="41" t="s">
        <v>152</v>
      </c>
      <c r="E41" s="42" t="s">
        <v>153</v>
      </c>
      <c r="F41" s="43" t="n">
        <v>9</v>
      </c>
      <c r="G41" s="44" t="s">
        <v>108</v>
      </c>
      <c r="H41" s="45" t="s">
        <v>49</v>
      </c>
      <c r="I41" s="47"/>
    </row>
    <row r="42" customFormat="false" ht="15.75" hidden="false" customHeight="true" outlineLevel="0" collapsed="false">
      <c r="A42" s="38" t="n">
        <v>37</v>
      </c>
      <c r="B42" s="39" t="n">
        <v>1</v>
      </c>
      <c r="C42" s="39" t="s">
        <v>110</v>
      </c>
      <c r="D42" s="41" t="s">
        <v>152</v>
      </c>
      <c r="E42" s="42" t="s">
        <v>153</v>
      </c>
      <c r="F42" s="43" t="n">
        <v>9</v>
      </c>
      <c r="G42" s="44" t="s">
        <v>108</v>
      </c>
      <c r="H42" s="45" t="s">
        <v>49</v>
      </c>
      <c r="I42" s="47"/>
    </row>
    <row r="43" customFormat="false" ht="15.75" hidden="false" customHeight="true" outlineLevel="0" collapsed="false">
      <c r="A43" s="38" t="n">
        <v>38</v>
      </c>
      <c r="B43" s="39" t="n">
        <v>1</v>
      </c>
      <c r="C43" s="39" t="s">
        <v>117</v>
      </c>
      <c r="D43" s="41" t="s">
        <v>152</v>
      </c>
      <c r="E43" s="42" t="s">
        <v>153</v>
      </c>
      <c r="F43" s="43" t="n">
        <v>9</v>
      </c>
      <c r="G43" s="44" t="s">
        <v>108</v>
      </c>
      <c r="H43" s="45" t="s">
        <v>49</v>
      </c>
      <c r="I43" s="48"/>
    </row>
    <row r="44" customFormat="false" ht="19.5" hidden="false" customHeight="true" outlineLevel="0" collapsed="false">
      <c r="A44" s="36" t="s">
        <v>154</v>
      </c>
      <c r="B44" s="36"/>
      <c r="C44" s="36"/>
      <c r="D44" s="36"/>
      <c r="E44" s="36"/>
      <c r="F44" s="36"/>
      <c r="G44" s="36"/>
      <c r="H44" s="36"/>
      <c r="I44" s="49"/>
    </row>
    <row r="45" customFormat="false" ht="15.75" hidden="false" customHeight="true" outlineLevel="0" collapsed="false">
      <c r="A45" s="38" t="n">
        <v>39</v>
      </c>
      <c r="B45" s="39" t="n">
        <v>1</v>
      </c>
      <c r="C45" s="40" t="s">
        <v>155</v>
      </c>
      <c r="D45" s="41" t="s">
        <v>152</v>
      </c>
      <c r="E45" s="42" t="s">
        <v>153</v>
      </c>
      <c r="F45" s="43" t="n">
        <v>8</v>
      </c>
      <c r="G45" s="44" t="s">
        <v>108</v>
      </c>
      <c r="H45" s="45" t="s">
        <v>49</v>
      </c>
      <c r="I45" s="46"/>
    </row>
    <row r="46" customFormat="false" ht="15.75" hidden="false" customHeight="true" outlineLevel="0" collapsed="false">
      <c r="A46" s="38" t="n">
        <v>40</v>
      </c>
      <c r="B46" s="39" t="n">
        <v>1</v>
      </c>
      <c r="C46" s="39" t="s">
        <v>120</v>
      </c>
      <c r="D46" s="41" t="s">
        <v>152</v>
      </c>
      <c r="E46" s="42" t="s">
        <v>153</v>
      </c>
      <c r="F46" s="43" t="n">
        <v>9</v>
      </c>
      <c r="G46" s="44" t="s">
        <v>108</v>
      </c>
      <c r="H46" s="45" t="s">
        <v>49</v>
      </c>
      <c r="I46" s="47"/>
    </row>
    <row r="47" customFormat="false" ht="15.75" hidden="false" customHeight="true" outlineLevel="0" collapsed="false">
      <c r="A47" s="38" t="n">
        <v>41</v>
      </c>
      <c r="B47" s="39" t="n">
        <v>1</v>
      </c>
      <c r="C47" s="39" t="s">
        <v>138</v>
      </c>
      <c r="D47" s="41" t="s">
        <v>152</v>
      </c>
      <c r="E47" s="42" t="s">
        <v>153</v>
      </c>
      <c r="F47" s="43" t="n">
        <v>9</v>
      </c>
      <c r="G47" s="44" t="s">
        <v>108</v>
      </c>
      <c r="H47" s="45" t="s">
        <v>49</v>
      </c>
      <c r="I47" s="47"/>
    </row>
    <row r="48" customFormat="false" ht="15.75" hidden="false" customHeight="true" outlineLevel="0" collapsed="false">
      <c r="A48" s="38" t="n">
        <v>42</v>
      </c>
      <c r="B48" s="39" t="n">
        <v>1</v>
      </c>
      <c r="C48" s="39" t="s">
        <v>124</v>
      </c>
      <c r="D48" s="41" t="s">
        <v>156</v>
      </c>
      <c r="E48" s="42" t="s">
        <v>157</v>
      </c>
      <c r="F48" s="43" t="n">
        <v>6</v>
      </c>
      <c r="G48" s="44" t="s">
        <v>108</v>
      </c>
      <c r="H48" s="45" t="s">
        <v>49</v>
      </c>
      <c r="I48" s="47"/>
    </row>
    <row r="49" customFormat="false" ht="15.75" hidden="false" customHeight="true" outlineLevel="0" collapsed="false">
      <c r="A49" s="38" t="n">
        <v>43</v>
      </c>
      <c r="B49" s="39" t="n">
        <v>1</v>
      </c>
      <c r="C49" s="40" t="s">
        <v>110</v>
      </c>
      <c r="D49" s="41" t="s">
        <v>156</v>
      </c>
      <c r="E49" s="42" t="s">
        <v>157</v>
      </c>
      <c r="F49" s="43" t="n">
        <v>6</v>
      </c>
      <c r="G49" s="44" t="s">
        <v>108</v>
      </c>
      <c r="H49" s="45" t="s">
        <v>49</v>
      </c>
      <c r="I49" s="47"/>
    </row>
    <row r="50" customFormat="false" ht="15.75" hidden="false" customHeight="true" outlineLevel="0" collapsed="false">
      <c r="A50" s="38" t="n">
        <v>44</v>
      </c>
      <c r="B50" s="39" t="n">
        <v>1</v>
      </c>
      <c r="C50" s="39" t="s">
        <v>105</v>
      </c>
      <c r="D50" s="41" t="s">
        <v>156</v>
      </c>
      <c r="E50" s="42" t="s">
        <v>157</v>
      </c>
      <c r="F50" s="43" t="n">
        <v>8</v>
      </c>
      <c r="G50" s="44" t="s">
        <v>108</v>
      </c>
      <c r="H50" s="45" t="s">
        <v>49</v>
      </c>
      <c r="I50" s="47"/>
    </row>
    <row r="51" customFormat="false" ht="15.75" hidden="false" customHeight="true" outlineLevel="0" collapsed="false">
      <c r="A51" s="38" t="n">
        <v>45</v>
      </c>
      <c r="B51" s="39" t="n">
        <v>1</v>
      </c>
      <c r="C51" s="40" t="s">
        <v>125</v>
      </c>
      <c r="D51" s="41" t="s">
        <v>156</v>
      </c>
      <c r="E51" s="42" t="s">
        <v>157</v>
      </c>
      <c r="F51" s="43" t="n">
        <v>6</v>
      </c>
      <c r="G51" s="44" t="s">
        <v>108</v>
      </c>
      <c r="H51" s="45" t="s">
        <v>49</v>
      </c>
      <c r="I51" s="47"/>
    </row>
    <row r="52" customFormat="false" ht="15.75" hidden="false" customHeight="true" outlineLevel="0" collapsed="false">
      <c r="A52" s="38" t="n">
        <v>46</v>
      </c>
      <c r="B52" s="39" t="n">
        <v>1</v>
      </c>
      <c r="C52" s="39" t="s">
        <v>148</v>
      </c>
      <c r="D52" s="41" t="s">
        <v>158</v>
      </c>
      <c r="E52" s="42" t="s">
        <v>159</v>
      </c>
      <c r="F52" s="43" t="n">
        <v>8</v>
      </c>
      <c r="G52" s="44" t="s">
        <v>108</v>
      </c>
      <c r="H52" s="45" t="s">
        <v>49</v>
      </c>
      <c r="I52" s="47"/>
    </row>
    <row r="53" customFormat="false" ht="15.75" hidden="false" customHeight="true" outlineLevel="0" collapsed="false">
      <c r="A53" s="38" t="n">
        <v>47</v>
      </c>
      <c r="B53" s="39" t="n">
        <v>1</v>
      </c>
      <c r="C53" s="40" t="s">
        <v>147</v>
      </c>
      <c r="D53" s="41" t="s">
        <v>158</v>
      </c>
      <c r="E53" s="42" t="s">
        <v>159</v>
      </c>
      <c r="F53" s="43" t="n">
        <v>8</v>
      </c>
      <c r="G53" s="44" t="s">
        <v>108</v>
      </c>
      <c r="H53" s="45" t="s">
        <v>49</v>
      </c>
      <c r="I53" s="47"/>
    </row>
    <row r="54" customFormat="false" ht="15.75" hidden="false" customHeight="true" outlineLevel="0" collapsed="false">
      <c r="A54" s="38" t="n">
        <v>48</v>
      </c>
      <c r="B54" s="39" t="n">
        <v>1</v>
      </c>
      <c r="C54" s="39" t="s">
        <v>111</v>
      </c>
      <c r="D54" s="41" t="s">
        <v>160</v>
      </c>
      <c r="E54" s="42" t="s">
        <v>161</v>
      </c>
      <c r="F54" s="43" t="n">
        <v>10</v>
      </c>
      <c r="G54" s="44" t="s">
        <v>108</v>
      </c>
      <c r="H54" s="45" t="s">
        <v>49</v>
      </c>
      <c r="I54" s="47"/>
    </row>
    <row r="55" customFormat="false" ht="15.75" hidden="false" customHeight="true" outlineLevel="0" collapsed="false">
      <c r="A55" s="38" t="n">
        <v>49</v>
      </c>
      <c r="B55" s="39" t="n">
        <v>1</v>
      </c>
      <c r="C55" s="40" t="s">
        <v>121</v>
      </c>
      <c r="D55" s="41" t="s">
        <v>160</v>
      </c>
      <c r="E55" s="42" t="s">
        <v>161</v>
      </c>
      <c r="F55" s="43" t="n">
        <v>9</v>
      </c>
      <c r="G55" s="44" t="s">
        <v>108</v>
      </c>
      <c r="H55" s="45" t="s">
        <v>49</v>
      </c>
      <c r="I55" s="47"/>
    </row>
    <row r="56" customFormat="false" ht="15.75" hidden="false" customHeight="true" outlineLevel="0" collapsed="false">
      <c r="A56" s="38" t="n">
        <v>50</v>
      </c>
      <c r="B56" s="39" t="n">
        <v>1</v>
      </c>
      <c r="C56" s="39" t="s">
        <v>117</v>
      </c>
      <c r="D56" s="41" t="s">
        <v>160</v>
      </c>
      <c r="E56" s="42" t="s">
        <v>161</v>
      </c>
      <c r="F56" s="43" t="n">
        <v>8</v>
      </c>
      <c r="G56" s="44" t="s">
        <v>108</v>
      </c>
      <c r="H56" s="45" t="s">
        <v>49</v>
      </c>
      <c r="I56" s="47"/>
    </row>
    <row r="57" customFormat="false" ht="15.75" hidden="false" customHeight="true" outlineLevel="0" collapsed="false">
      <c r="A57" s="38" t="n">
        <v>51</v>
      </c>
      <c r="B57" s="39" t="n">
        <v>1</v>
      </c>
      <c r="C57" s="40" t="s">
        <v>115</v>
      </c>
      <c r="D57" s="41" t="s">
        <v>160</v>
      </c>
      <c r="E57" s="42" t="s">
        <v>161</v>
      </c>
      <c r="F57" s="43" t="n">
        <v>8</v>
      </c>
      <c r="G57" s="44" t="s">
        <v>108</v>
      </c>
      <c r="H57" s="45" t="s">
        <v>49</v>
      </c>
      <c r="I57" s="47"/>
    </row>
    <row r="58" customFormat="false" ht="15.75" hidden="false" customHeight="true" outlineLevel="0" collapsed="false">
      <c r="A58" s="38" t="n">
        <v>52</v>
      </c>
      <c r="B58" s="39" t="n">
        <v>1</v>
      </c>
      <c r="C58" s="39" t="s">
        <v>120</v>
      </c>
      <c r="D58" s="41" t="s">
        <v>160</v>
      </c>
      <c r="E58" s="42" t="s">
        <v>161</v>
      </c>
      <c r="F58" s="43" t="n">
        <v>8</v>
      </c>
      <c r="G58" s="44" t="s">
        <v>108</v>
      </c>
      <c r="H58" s="45" t="s">
        <v>49</v>
      </c>
      <c r="I58" s="47"/>
    </row>
    <row r="59" customFormat="false" ht="15.75" hidden="false" customHeight="true" outlineLevel="0" collapsed="false">
      <c r="A59" s="38" t="n">
        <v>53</v>
      </c>
      <c r="B59" s="39" t="n">
        <v>1</v>
      </c>
      <c r="C59" s="39" t="s">
        <v>124</v>
      </c>
      <c r="D59" s="41" t="s">
        <v>156</v>
      </c>
      <c r="E59" s="42" t="s">
        <v>162</v>
      </c>
      <c r="F59" s="43" t="s">
        <v>163</v>
      </c>
      <c r="G59" s="44" t="s">
        <v>108</v>
      </c>
      <c r="H59" s="45" t="s">
        <v>49</v>
      </c>
      <c r="I59" s="47"/>
    </row>
    <row r="60" customFormat="false" ht="15.75" hidden="false" customHeight="true" outlineLevel="0" collapsed="false">
      <c r="A60" s="38" t="n">
        <v>54</v>
      </c>
      <c r="B60" s="39" t="n">
        <v>1</v>
      </c>
      <c r="C60" s="40" t="s">
        <v>110</v>
      </c>
      <c r="D60" s="41" t="s">
        <v>156</v>
      </c>
      <c r="E60" s="42" t="s">
        <v>162</v>
      </c>
      <c r="F60" s="43" t="s">
        <v>163</v>
      </c>
      <c r="G60" s="44" t="s">
        <v>108</v>
      </c>
      <c r="H60" s="45" t="s">
        <v>49</v>
      </c>
      <c r="I60" s="47"/>
    </row>
    <row r="61" customFormat="false" ht="15.75" hidden="false" customHeight="true" outlineLevel="0" collapsed="false">
      <c r="A61" s="38" t="n">
        <v>55</v>
      </c>
      <c r="B61" s="39" t="n">
        <v>1</v>
      </c>
      <c r="C61" s="39" t="s">
        <v>105</v>
      </c>
      <c r="D61" s="41" t="s">
        <v>156</v>
      </c>
      <c r="E61" s="42" t="s">
        <v>162</v>
      </c>
      <c r="F61" s="43" t="n">
        <v>8</v>
      </c>
      <c r="G61" s="44" t="s">
        <v>108</v>
      </c>
      <c r="H61" s="45"/>
      <c r="I61" s="47"/>
    </row>
    <row r="62" customFormat="false" ht="15.75" hidden="false" customHeight="true" outlineLevel="0" collapsed="false">
      <c r="A62" s="38" t="n">
        <v>56</v>
      </c>
      <c r="B62" s="39" t="n">
        <v>1</v>
      </c>
      <c r="C62" s="40" t="s">
        <v>125</v>
      </c>
      <c r="D62" s="41" t="s">
        <v>156</v>
      </c>
      <c r="E62" s="42" t="s">
        <v>162</v>
      </c>
      <c r="F62" s="43" t="n">
        <v>6</v>
      </c>
      <c r="G62" s="44" t="s">
        <v>108</v>
      </c>
      <c r="H62" s="45"/>
      <c r="I62" s="47"/>
    </row>
    <row r="63" customFormat="false" ht="15.75" hidden="false" customHeight="true" outlineLevel="0" collapsed="false">
      <c r="A63" s="38" t="n">
        <v>57</v>
      </c>
      <c r="B63" s="39" t="n">
        <v>1</v>
      </c>
      <c r="C63" s="40" t="s">
        <v>164</v>
      </c>
      <c r="D63" s="41" t="s">
        <v>165</v>
      </c>
      <c r="E63" s="42" t="s">
        <v>166</v>
      </c>
      <c r="F63" s="43" t="n">
        <v>7</v>
      </c>
      <c r="G63" s="44" t="s">
        <v>108</v>
      </c>
      <c r="H63" s="45"/>
      <c r="I63" s="48"/>
    </row>
    <row r="64" customFormat="false" ht="19.5" hidden="false" customHeight="true" outlineLevel="0" collapsed="false">
      <c r="A64" s="36" t="s">
        <v>167</v>
      </c>
      <c r="B64" s="36"/>
      <c r="C64" s="36"/>
      <c r="D64" s="36"/>
      <c r="E64" s="36"/>
      <c r="F64" s="36"/>
      <c r="G64" s="36"/>
      <c r="H64" s="36"/>
      <c r="I64" s="49"/>
    </row>
    <row r="65" customFormat="false" ht="15.75" hidden="false" customHeight="true" outlineLevel="0" collapsed="false">
      <c r="A65" s="38" t="n">
        <v>58</v>
      </c>
      <c r="B65" s="39" t="n">
        <v>1</v>
      </c>
      <c r="C65" s="40" t="s">
        <v>105</v>
      </c>
      <c r="D65" s="41" t="s">
        <v>165</v>
      </c>
      <c r="E65" s="42" t="s">
        <v>166</v>
      </c>
      <c r="F65" s="43" t="n">
        <v>4</v>
      </c>
      <c r="G65" s="44" t="s">
        <v>108</v>
      </c>
      <c r="H65" s="45" t="s">
        <v>49</v>
      </c>
      <c r="I65" s="46"/>
    </row>
    <row r="66" customFormat="false" ht="15.75" hidden="false" customHeight="true" outlineLevel="0" collapsed="false">
      <c r="A66" s="38" t="n">
        <v>59</v>
      </c>
      <c r="B66" s="39" t="n">
        <v>1</v>
      </c>
      <c r="C66" s="40" t="s">
        <v>138</v>
      </c>
      <c r="D66" s="41" t="s">
        <v>165</v>
      </c>
      <c r="E66" s="42" t="s">
        <v>166</v>
      </c>
      <c r="F66" s="43" t="n">
        <v>4</v>
      </c>
      <c r="G66" s="44" t="s">
        <v>108</v>
      </c>
      <c r="H66" s="45" t="s">
        <v>49</v>
      </c>
      <c r="I66" s="47"/>
    </row>
    <row r="67" customFormat="false" ht="15.75" hidden="false" customHeight="true" outlineLevel="0" collapsed="false">
      <c r="A67" s="38" t="n">
        <v>60</v>
      </c>
      <c r="B67" s="39" t="n">
        <v>1</v>
      </c>
      <c r="C67" s="40" t="s">
        <v>168</v>
      </c>
      <c r="D67" s="41" t="s">
        <v>165</v>
      </c>
      <c r="E67" s="42" t="s">
        <v>166</v>
      </c>
      <c r="F67" s="43" t="n">
        <v>5</v>
      </c>
      <c r="G67" s="44" t="s">
        <v>108</v>
      </c>
      <c r="H67" s="45" t="s">
        <v>49</v>
      </c>
      <c r="I67" s="47"/>
    </row>
    <row r="68" customFormat="false" ht="15.75" hidden="false" customHeight="true" outlineLevel="0" collapsed="false">
      <c r="A68" s="38" t="n">
        <v>61</v>
      </c>
      <c r="B68" s="39" t="n">
        <v>1</v>
      </c>
      <c r="C68" s="40" t="s">
        <v>114</v>
      </c>
      <c r="D68" s="41" t="s">
        <v>169</v>
      </c>
      <c r="E68" s="42" t="s">
        <v>170</v>
      </c>
      <c r="F68" s="43" t="n">
        <v>8</v>
      </c>
      <c r="G68" s="44" t="s">
        <v>108</v>
      </c>
      <c r="H68" s="45" t="s">
        <v>49</v>
      </c>
      <c r="I68" s="47"/>
    </row>
    <row r="69" customFormat="false" ht="15.75" hidden="false" customHeight="true" outlineLevel="0" collapsed="false">
      <c r="A69" s="38" t="n">
        <v>62</v>
      </c>
      <c r="B69" s="39" t="n">
        <v>1</v>
      </c>
      <c r="C69" s="39" t="s">
        <v>111</v>
      </c>
      <c r="D69" s="41" t="s">
        <v>169</v>
      </c>
      <c r="E69" s="42" t="s">
        <v>170</v>
      </c>
      <c r="F69" s="43" t="n">
        <v>9</v>
      </c>
      <c r="G69" s="44" t="s">
        <v>108</v>
      </c>
      <c r="H69" s="45" t="s">
        <v>49</v>
      </c>
      <c r="I69" s="47"/>
    </row>
    <row r="70" customFormat="false" ht="15.75" hidden="false" customHeight="true" outlineLevel="0" collapsed="false">
      <c r="A70" s="38" t="n">
        <v>63</v>
      </c>
      <c r="B70" s="39" t="n">
        <v>1</v>
      </c>
      <c r="C70" s="40" t="s">
        <v>121</v>
      </c>
      <c r="D70" s="41" t="s">
        <v>169</v>
      </c>
      <c r="E70" s="42" t="s">
        <v>170</v>
      </c>
      <c r="F70" s="43" t="n">
        <v>9</v>
      </c>
      <c r="G70" s="44" t="s">
        <v>108</v>
      </c>
      <c r="H70" s="45" t="s">
        <v>49</v>
      </c>
      <c r="I70" s="47"/>
    </row>
    <row r="71" customFormat="false" ht="15.75" hidden="false" customHeight="true" outlineLevel="0" collapsed="false">
      <c r="A71" s="38" t="n">
        <v>64</v>
      </c>
      <c r="B71" s="39" t="n">
        <v>1</v>
      </c>
      <c r="C71" s="39" t="s">
        <v>117</v>
      </c>
      <c r="D71" s="41" t="s">
        <v>169</v>
      </c>
      <c r="E71" s="42" t="s">
        <v>170</v>
      </c>
      <c r="F71" s="43" t="n">
        <v>5</v>
      </c>
      <c r="G71" s="44" t="s">
        <v>108</v>
      </c>
      <c r="H71" s="45" t="s">
        <v>49</v>
      </c>
      <c r="I71" s="47"/>
    </row>
    <row r="72" customFormat="false" ht="15.75" hidden="false" customHeight="true" outlineLevel="0" collapsed="false">
      <c r="A72" s="38" t="n">
        <v>65</v>
      </c>
      <c r="B72" s="39" t="n">
        <v>1</v>
      </c>
      <c r="C72" s="40" t="s">
        <v>120</v>
      </c>
      <c r="D72" s="41" t="s">
        <v>169</v>
      </c>
      <c r="E72" s="42" t="s">
        <v>170</v>
      </c>
      <c r="F72" s="43" t="n">
        <v>5</v>
      </c>
      <c r="G72" s="44" t="s">
        <v>108</v>
      </c>
      <c r="H72" s="45" t="s">
        <v>49</v>
      </c>
      <c r="I72" s="47"/>
    </row>
    <row r="73" customFormat="false" ht="15.75" hidden="false" customHeight="true" outlineLevel="0" collapsed="false">
      <c r="A73" s="38" t="n">
        <v>66</v>
      </c>
      <c r="B73" s="39" t="n">
        <v>1</v>
      </c>
      <c r="C73" s="39" t="s">
        <v>115</v>
      </c>
      <c r="D73" s="41" t="s">
        <v>169</v>
      </c>
      <c r="E73" s="42" t="s">
        <v>170</v>
      </c>
      <c r="F73" s="43" t="n">
        <v>8</v>
      </c>
      <c r="G73" s="44" t="s">
        <v>108</v>
      </c>
      <c r="H73" s="45" t="s">
        <v>49</v>
      </c>
      <c r="I73" s="47"/>
    </row>
    <row r="74" customFormat="false" ht="15.75" hidden="false" customHeight="true" outlineLevel="0" collapsed="false">
      <c r="A74" s="38" t="n">
        <v>67</v>
      </c>
      <c r="B74" s="39" t="n">
        <v>1</v>
      </c>
      <c r="C74" s="40" t="s">
        <v>117</v>
      </c>
      <c r="D74" s="41" t="s">
        <v>171</v>
      </c>
      <c r="E74" s="42" t="s">
        <v>172</v>
      </c>
      <c r="F74" s="43" t="s">
        <v>128</v>
      </c>
      <c r="G74" s="44" t="s">
        <v>108</v>
      </c>
      <c r="H74" s="45" t="s">
        <v>49</v>
      </c>
      <c r="I74" s="47"/>
    </row>
    <row r="75" customFormat="false" ht="15.75" hidden="false" customHeight="true" outlineLevel="0" collapsed="false">
      <c r="A75" s="38" t="n">
        <v>68</v>
      </c>
      <c r="B75" s="39" t="n">
        <v>1</v>
      </c>
      <c r="C75" s="39" t="s">
        <v>120</v>
      </c>
      <c r="D75" s="41" t="s">
        <v>171</v>
      </c>
      <c r="E75" s="42" t="s">
        <v>172</v>
      </c>
      <c r="F75" s="43" t="s">
        <v>128</v>
      </c>
      <c r="G75" s="44" t="s">
        <v>108</v>
      </c>
      <c r="H75" s="45" t="s">
        <v>49</v>
      </c>
      <c r="I75" s="47"/>
    </row>
    <row r="76" customFormat="false" ht="15.75" hidden="false" customHeight="true" outlineLevel="0" collapsed="false">
      <c r="A76" s="38" t="n">
        <v>69</v>
      </c>
      <c r="B76" s="39" t="n">
        <v>1</v>
      </c>
      <c r="C76" s="40" t="s">
        <v>168</v>
      </c>
      <c r="D76" s="41" t="s">
        <v>173</v>
      </c>
      <c r="E76" s="42" t="s">
        <v>174</v>
      </c>
      <c r="F76" s="43" t="n">
        <v>8</v>
      </c>
      <c r="G76" s="44" t="s">
        <v>108</v>
      </c>
      <c r="H76" s="45" t="s">
        <v>49</v>
      </c>
      <c r="I76" s="47"/>
    </row>
    <row r="77" customFormat="false" ht="15.75" hidden="false" customHeight="true" outlineLevel="0" collapsed="false">
      <c r="A77" s="38" t="n">
        <v>70</v>
      </c>
      <c r="B77" s="39" t="n">
        <v>1</v>
      </c>
      <c r="C77" s="39" t="s">
        <v>105</v>
      </c>
      <c r="D77" s="41" t="s">
        <v>173</v>
      </c>
      <c r="E77" s="42" t="s">
        <v>174</v>
      </c>
      <c r="F77" s="43" t="n">
        <v>8</v>
      </c>
      <c r="G77" s="44" t="s">
        <v>108</v>
      </c>
      <c r="H77" s="45" t="s">
        <v>49</v>
      </c>
      <c r="I77" s="47"/>
    </row>
    <row r="78" customFormat="false" ht="15.75" hidden="false" customHeight="true" outlineLevel="0" collapsed="false">
      <c r="A78" s="38" t="n">
        <v>71</v>
      </c>
      <c r="B78" s="39" t="n">
        <v>1</v>
      </c>
      <c r="C78" s="40" t="s">
        <v>138</v>
      </c>
      <c r="D78" s="41" t="s">
        <v>173</v>
      </c>
      <c r="E78" s="42" t="s">
        <v>174</v>
      </c>
      <c r="F78" s="43" t="n">
        <v>8</v>
      </c>
      <c r="G78" s="44" t="s">
        <v>108</v>
      </c>
      <c r="H78" s="45" t="s">
        <v>49</v>
      </c>
      <c r="I78" s="47"/>
    </row>
    <row r="79" customFormat="false" ht="15.75" hidden="false" customHeight="true" outlineLevel="0" collapsed="false">
      <c r="A79" s="38" t="n">
        <v>72</v>
      </c>
      <c r="B79" s="39" t="n">
        <v>1</v>
      </c>
      <c r="C79" s="39" t="s">
        <v>147</v>
      </c>
      <c r="D79" s="41" t="s">
        <v>175</v>
      </c>
      <c r="E79" s="42" t="s">
        <v>176</v>
      </c>
      <c r="F79" s="43" t="n">
        <v>8</v>
      </c>
      <c r="G79" s="44" t="s">
        <v>108</v>
      </c>
      <c r="H79" s="45" t="s">
        <v>49</v>
      </c>
      <c r="I79" s="47"/>
    </row>
    <row r="80" customFormat="false" ht="15.75" hidden="false" customHeight="true" outlineLevel="0" collapsed="false">
      <c r="A80" s="38" t="n">
        <v>73</v>
      </c>
      <c r="B80" s="39" t="n">
        <v>1</v>
      </c>
      <c r="C80" s="40" t="s">
        <v>110</v>
      </c>
      <c r="D80" s="41" t="s">
        <v>177</v>
      </c>
      <c r="E80" s="42" t="s">
        <v>178</v>
      </c>
      <c r="F80" s="43" t="n">
        <v>8</v>
      </c>
      <c r="G80" s="44" t="s">
        <v>108</v>
      </c>
      <c r="H80" s="45" t="s">
        <v>49</v>
      </c>
      <c r="I80" s="47"/>
    </row>
    <row r="81" customFormat="false" ht="15.75" hidden="false" customHeight="true" outlineLevel="0" collapsed="false">
      <c r="A81" s="38" t="n">
        <v>74</v>
      </c>
      <c r="B81" s="39" t="n">
        <v>1</v>
      </c>
      <c r="C81" s="39" t="s">
        <v>155</v>
      </c>
      <c r="D81" s="41" t="s">
        <v>179</v>
      </c>
      <c r="E81" s="42" t="s">
        <v>178</v>
      </c>
      <c r="F81" s="43" t="n">
        <v>9</v>
      </c>
      <c r="G81" s="44" t="s">
        <v>108</v>
      </c>
      <c r="H81" s="45" t="s">
        <v>49</v>
      </c>
      <c r="I81" s="47"/>
    </row>
    <row r="82" customFormat="false" ht="15.75" hidden="false" customHeight="true" outlineLevel="0" collapsed="false">
      <c r="A82" s="38" t="n">
        <v>75</v>
      </c>
      <c r="B82" s="39" t="n">
        <v>1</v>
      </c>
      <c r="C82" s="40" t="s">
        <v>180</v>
      </c>
      <c r="D82" s="41" t="s">
        <v>181</v>
      </c>
      <c r="E82" s="42" t="s">
        <v>178</v>
      </c>
      <c r="F82" s="43" t="n">
        <v>10</v>
      </c>
      <c r="G82" s="44" t="s">
        <v>108</v>
      </c>
      <c r="H82" s="45" t="s">
        <v>49</v>
      </c>
      <c r="I82" s="47"/>
    </row>
    <row r="83" customFormat="false" ht="15.75" hidden="false" customHeight="true" outlineLevel="0" collapsed="false">
      <c r="A83" s="38" t="n">
        <v>76</v>
      </c>
      <c r="B83" s="39" t="n">
        <v>1</v>
      </c>
      <c r="C83" s="39" t="s">
        <v>110</v>
      </c>
      <c r="D83" s="41" t="s">
        <v>182</v>
      </c>
      <c r="E83" s="42" t="s">
        <v>183</v>
      </c>
      <c r="F83" s="43" t="n">
        <v>2</v>
      </c>
      <c r="G83" s="44" t="s">
        <v>108</v>
      </c>
      <c r="H83" s="45" t="s">
        <v>49</v>
      </c>
      <c r="I83" s="48"/>
    </row>
    <row r="84" customFormat="false" ht="19.5" hidden="false" customHeight="true" outlineLevel="0" collapsed="false">
      <c r="A84" s="36" t="s">
        <v>184</v>
      </c>
      <c r="B84" s="36"/>
      <c r="C84" s="36"/>
      <c r="D84" s="36"/>
      <c r="E84" s="36"/>
      <c r="F84" s="36"/>
      <c r="G84" s="36"/>
      <c r="H84" s="36"/>
      <c r="I84" s="49"/>
    </row>
    <row r="85" customFormat="false" ht="15.75" hidden="false" customHeight="true" outlineLevel="0" collapsed="false">
      <c r="A85" s="38" t="n">
        <v>77</v>
      </c>
      <c r="B85" s="39" t="n">
        <v>1</v>
      </c>
      <c r="C85" s="39" t="s">
        <v>124</v>
      </c>
      <c r="D85" s="41" t="s">
        <v>182</v>
      </c>
      <c r="E85" s="42" t="s">
        <v>183</v>
      </c>
      <c r="F85" s="43" t="n">
        <v>2</v>
      </c>
      <c r="G85" s="44" t="s">
        <v>108</v>
      </c>
      <c r="H85" s="45" t="s">
        <v>49</v>
      </c>
      <c r="I85" s="46"/>
    </row>
    <row r="86" customFormat="false" ht="15.75" hidden="false" customHeight="true" outlineLevel="0" collapsed="false">
      <c r="A86" s="38" t="n">
        <v>78</v>
      </c>
      <c r="B86" s="39" t="n">
        <v>1</v>
      </c>
      <c r="C86" s="39" t="s">
        <v>143</v>
      </c>
      <c r="D86" s="41" t="s">
        <v>185</v>
      </c>
      <c r="E86" s="42" t="s">
        <v>186</v>
      </c>
      <c r="F86" s="43" t="n">
        <v>9</v>
      </c>
      <c r="G86" s="44" t="s">
        <v>108</v>
      </c>
      <c r="H86" s="45" t="s">
        <v>49</v>
      </c>
      <c r="I86" s="47"/>
    </row>
    <row r="87" customFormat="false" ht="15.75" hidden="false" customHeight="true" outlineLevel="0" collapsed="false">
      <c r="A87" s="38" t="n">
        <v>79</v>
      </c>
      <c r="B87" s="39" t="n">
        <v>1</v>
      </c>
      <c r="C87" s="39" t="s">
        <v>187</v>
      </c>
      <c r="D87" s="41" t="s">
        <v>185</v>
      </c>
      <c r="E87" s="42" t="s">
        <v>186</v>
      </c>
      <c r="F87" s="43" t="n">
        <v>9</v>
      </c>
      <c r="G87" s="44" t="s">
        <v>108</v>
      </c>
      <c r="H87" s="45" t="s">
        <v>49</v>
      </c>
      <c r="I87" s="47"/>
    </row>
    <row r="88" customFormat="false" ht="15.75" hidden="false" customHeight="true" outlineLevel="0" collapsed="false">
      <c r="A88" s="38" t="n">
        <v>80</v>
      </c>
      <c r="B88" s="39" t="n">
        <v>1</v>
      </c>
      <c r="C88" s="39" t="s">
        <v>188</v>
      </c>
      <c r="D88" s="41" t="s">
        <v>185</v>
      </c>
      <c r="E88" s="42" t="s">
        <v>186</v>
      </c>
      <c r="F88" s="43" t="n">
        <v>9</v>
      </c>
      <c r="G88" s="44" t="s">
        <v>108</v>
      </c>
      <c r="H88" s="45" t="s">
        <v>49</v>
      </c>
      <c r="I88" s="47"/>
    </row>
    <row r="89" customFormat="false" ht="15.75" hidden="false" customHeight="true" outlineLevel="0" collapsed="false">
      <c r="A89" s="38" t="n">
        <v>81</v>
      </c>
      <c r="B89" s="39" t="n">
        <v>1</v>
      </c>
      <c r="C89" s="40" t="s">
        <v>117</v>
      </c>
      <c r="D89" s="41" t="s">
        <v>189</v>
      </c>
      <c r="E89" s="42" t="s">
        <v>190</v>
      </c>
      <c r="F89" s="43" t="n">
        <v>4</v>
      </c>
      <c r="G89" s="44" t="s">
        <v>108</v>
      </c>
      <c r="H89" s="45" t="s">
        <v>49</v>
      </c>
      <c r="I89" s="47"/>
    </row>
    <row r="90" customFormat="false" ht="15.75" hidden="false" customHeight="true" outlineLevel="0" collapsed="false">
      <c r="A90" s="38" t="n">
        <v>82</v>
      </c>
      <c r="B90" s="39" t="n">
        <v>1</v>
      </c>
      <c r="C90" s="39" t="s">
        <v>120</v>
      </c>
      <c r="D90" s="41" t="s">
        <v>189</v>
      </c>
      <c r="E90" s="42" t="s">
        <v>190</v>
      </c>
      <c r="F90" s="43" t="n">
        <v>3</v>
      </c>
      <c r="G90" s="44" t="s">
        <v>108</v>
      </c>
      <c r="H90" s="45" t="s">
        <v>49</v>
      </c>
      <c r="I90" s="47"/>
    </row>
    <row r="91" customFormat="false" ht="15.75" hidden="false" customHeight="true" outlineLevel="0" collapsed="false">
      <c r="A91" s="38" t="n">
        <v>83</v>
      </c>
      <c r="B91" s="39" t="n">
        <v>1</v>
      </c>
      <c r="C91" s="40" t="s">
        <v>110</v>
      </c>
      <c r="D91" s="41" t="s">
        <v>189</v>
      </c>
      <c r="E91" s="42" t="s">
        <v>190</v>
      </c>
      <c r="F91" s="43" t="n">
        <v>3</v>
      </c>
      <c r="G91" s="44" t="s">
        <v>108</v>
      </c>
      <c r="H91" s="45" t="s">
        <v>49</v>
      </c>
      <c r="I91" s="47"/>
    </row>
    <row r="92" customFormat="false" ht="15.75" hidden="false" customHeight="true" outlineLevel="0" collapsed="false">
      <c r="A92" s="38" t="n">
        <v>84</v>
      </c>
      <c r="B92" s="39" t="n">
        <v>1</v>
      </c>
      <c r="C92" s="39" t="s">
        <v>121</v>
      </c>
      <c r="D92" s="41" t="s">
        <v>189</v>
      </c>
      <c r="E92" s="42" t="s">
        <v>190</v>
      </c>
      <c r="F92" s="43" t="n">
        <v>3</v>
      </c>
      <c r="G92" s="44" t="s">
        <v>108</v>
      </c>
      <c r="H92" s="45" t="s">
        <v>49</v>
      </c>
      <c r="I92" s="47"/>
    </row>
    <row r="93" customFormat="false" ht="15.75" hidden="false" customHeight="true" outlineLevel="0" collapsed="false">
      <c r="A93" s="38" t="n">
        <v>85</v>
      </c>
      <c r="B93" s="39" t="n">
        <v>1</v>
      </c>
      <c r="C93" s="39" t="s">
        <v>191</v>
      </c>
      <c r="D93" s="41" t="s">
        <v>189</v>
      </c>
      <c r="E93" s="42" t="s">
        <v>190</v>
      </c>
      <c r="F93" s="43" t="n">
        <v>5</v>
      </c>
      <c r="G93" s="44" t="s">
        <v>108</v>
      </c>
      <c r="H93" s="45" t="s">
        <v>49</v>
      </c>
      <c r="I93" s="47"/>
    </row>
    <row r="94" customFormat="false" ht="15.75" hidden="false" customHeight="true" outlineLevel="0" collapsed="false">
      <c r="A94" s="38" t="n">
        <v>86</v>
      </c>
      <c r="B94" s="39" t="n">
        <v>1</v>
      </c>
      <c r="C94" s="39" t="s">
        <v>192</v>
      </c>
      <c r="D94" s="41" t="s">
        <v>189</v>
      </c>
      <c r="E94" s="42" t="s">
        <v>190</v>
      </c>
      <c r="F94" s="43" t="n">
        <v>3</v>
      </c>
      <c r="G94" s="44" t="s">
        <v>108</v>
      </c>
      <c r="H94" s="45" t="s">
        <v>49</v>
      </c>
      <c r="I94" s="47"/>
    </row>
    <row r="95" customFormat="false" ht="15.75" hidden="false" customHeight="true" outlineLevel="0" collapsed="false">
      <c r="A95" s="38" t="n">
        <v>87</v>
      </c>
      <c r="B95" s="39" t="n">
        <v>1</v>
      </c>
      <c r="C95" s="40" t="s">
        <v>168</v>
      </c>
      <c r="D95" s="41" t="s">
        <v>193</v>
      </c>
      <c r="E95" s="42" t="s">
        <v>194</v>
      </c>
      <c r="F95" s="43" t="n">
        <v>5</v>
      </c>
      <c r="G95" s="44" t="s">
        <v>108</v>
      </c>
      <c r="H95" s="45" t="s">
        <v>49</v>
      </c>
      <c r="I95" s="47"/>
    </row>
    <row r="96" customFormat="false" ht="15.75" hidden="false" customHeight="true" outlineLevel="0" collapsed="false">
      <c r="A96" s="38" t="n">
        <v>88</v>
      </c>
      <c r="B96" s="39" t="n">
        <v>1</v>
      </c>
      <c r="C96" s="39" t="s">
        <v>138</v>
      </c>
      <c r="D96" s="41" t="s">
        <v>195</v>
      </c>
      <c r="E96" s="42" t="s">
        <v>194</v>
      </c>
      <c r="F96" s="43" t="n">
        <v>5</v>
      </c>
      <c r="G96" s="44" t="s">
        <v>108</v>
      </c>
      <c r="H96" s="45" t="s">
        <v>49</v>
      </c>
      <c r="I96" s="47"/>
    </row>
    <row r="97" customFormat="false" ht="15.75" hidden="false" customHeight="true" outlineLevel="0" collapsed="false">
      <c r="A97" s="38" t="n">
        <v>89</v>
      </c>
      <c r="B97" s="39" t="n">
        <v>1</v>
      </c>
      <c r="C97" s="40" t="s">
        <v>196</v>
      </c>
      <c r="D97" s="41" t="s">
        <v>197</v>
      </c>
      <c r="E97" s="42" t="s">
        <v>198</v>
      </c>
      <c r="F97" s="43" t="n">
        <v>7</v>
      </c>
      <c r="G97" s="44" t="s">
        <v>108</v>
      </c>
      <c r="H97" s="45" t="s">
        <v>49</v>
      </c>
      <c r="I97" s="47"/>
    </row>
    <row r="98" customFormat="false" ht="15.75" hidden="false" customHeight="true" outlineLevel="0" collapsed="false">
      <c r="A98" s="38" t="n">
        <v>90</v>
      </c>
      <c r="B98" s="39" t="n">
        <v>1</v>
      </c>
      <c r="C98" s="39" t="s">
        <v>109</v>
      </c>
      <c r="D98" s="41" t="s">
        <v>199</v>
      </c>
      <c r="E98" s="42" t="s">
        <v>200</v>
      </c>
      <c r="F98" s="43" t="s">
        <v>201</v>
      </c>
      <c r="G98" s="44" t="s">
        <v>108</v>
      </c>
      <c r="H98" s="45" t="s">
        <v>49</v>
      </c>
      <c r="I98" s="47"/>
    </row>
    <row r="99" customFormat="false" ht="15.75" hidden="false" customHeight="true" outlineLevel="0" collapsed="false">
      <c r="A99" s="38" t="n">
        <v>91</v>
      </c>
      <c r="B99" s="39" t="n">
        <v>1</v>
      </c>
      <c r="C99" s="40" t="s">
        <v>117</v>
      </c>
      <c r="D99" s="41" t="s">
        <v>202</v>
      </c>
      <c r="E99" s="42" t="s">
        <v>203</v>
      </c>
      <c r="F99" s="43" t="n">
        <v>6</v>
      </c>
      <c r="G99" s="44" t="s">
        <v>108</v>
      </c>
      <c r="H99" s="45" t="s">
        <v>49</v>
      </c>
      <c r="I99" s="47"/>
    </row>
    <row r="100" customFormat="false" ht="15.75" hidden="false" customHeight="true" outlineLevel="0" collapsed="false">
      <c r="A100" s="38" t="n">
        <v>92</v>
      </c>
      <c r="B100" s="39" t="n">
        <v>1</v>
      </c>
      <c r="C100" s="39" t="s">
        <v>120</v>
      </c>
      <c r="D100" s="41" t="s">
        <v>202</v>
      </c>
      <c r="E100" s="42" t="s">
        <v>203</v>
      </c>
      <c r="F100" s="43" t="n">
        <v>6</v>
      </c>
      <c r="G100" s="44" t="s">
        <v>108</v>
      </c>
      <c r="H100" s="45" t="s">
        <v>49</v>
      </c>
      <c r="I100" s="47"/>
    </row>
    <row r="101" customFormat="false" ht="15.75" hidden="false" customHeight="true" outlineLevel="0" collapsed="false">
      <c r="A101" s="38" t="n">
        <v>93</v>
      </c>
      <c r="B101" s="39" t="n">
        <v>1</v>
      </c>
      <c r="C101" s="40" t="s">
        <v>125</v>
      </c>
      <c r="D101" s="41" t="s">
        <v>202</v>
      </c>
      <c r="E101" s="42" t="s">
        <v>203</v>
      </c>
      <c r="F101" s="43" t="n">
        <v>8</v>
      </c>
      <c r="G101" s="44" t="s">
        <v>108</v>
      </c>
      <c r="H101" s="45" t="s">
        <v>49</v>
      </c>
      <c r="I101" s="47"/>
    </row>
    <row r="102" customFormat="false" ht="15.75" hidden="false" customHeight="true" outlineLevel="0" collapsed="false">
      <c r="A102" s="38" t="n">
        <v>94</v>
      </c>
      <c r="B102" s="39" t="n">
        <v>1</v>
      </c>
      <c r="C102" s="39" t="s">
        <v>131</v>
      </c>
      <c r="D102" s="41" t="s">
        <v>204</v>
      </c>
      <c r="E102" s="42" t="s">
        <v>205</v>
      </c>
      <c r="F102" s="43" t="s">
        <v>128</v>
      </c>
      <c r="G102" s="44" t="s">
        <v>108</v>
      </c>
      <c r="H102" s="45" t="s">
        <v>49</v>
      </c>
      <c r="I102" s="47"/>
    </row>
    <row r="103" customFormat="false" ht="15.75" hidden="false" customHeight="true" outlineLevel="0" collapsed="false">
      <c r="A103" s="38" t="n">
        <v>95</v>
      </c>
      <c r="B103" s="39" t="n">
        <v>1</v>
      </c>
      <c r="C103" s="40" t="s">
        <v>117</v>
      </c>
      <c r="D103" s="41" t="s">
        <v>204</v>
      </c>
      <c r="E103" s="42" t="s">
        <v>205</v>
      </c>
      <c r="F103" s="43" t="n">
        <v>9</v>
      </c>
      <c r="G103" s="44" t="s">
        <v>108</v>
      </c>
      <c r="H103" s="45" t="s">
        <v>49</v>
      </c>
      <c r="I103" s="48"/>
      <c r="V103" s="0" t="n">
        <v>6</v>
      </c>
    </row>
    <row r="104" customFormat="false" ht="19.5" hidden="false" customHeight="true" outlineLevel="0" collapsed="false">
      <c r="A104" s="36" t="s">
        <v>206</v>
      </c>
      <c r="B104" s="36"/>
      <c r="C104" s="36"/>
      <c r="D104" s="36"/>
      <c r="E104" s="36"/>
      <c r="F104" s="36"/>
      <c r="G104" s="36"/>
      <c r="H104" s="36"/>
      <c r="I104" s="49"/>
    </row>
    <row r="105" customFormat="false" ht="15.75" hidden="false" customHeight="true" outlineLevel="0" collapsed="false">
      <c r="A105" s="38" t="n">
        <v>96</v>
      </c>
      <c r="B105" s="39" t="n">
        <v>1</v>
      </c>
      <c r="C105" s="39" t="s">
        <v>120</v>
      </c>
      <c r="D105" s="41" t="s">
        <v>204</v>
      </c>
      <c r="E105" s="42" t="s">
        <v>205</v>
      </c>
      <c r="F105" s="43" t="n">
        <v>9</v>
      </c>
      <c r="G105" s="44" t="s">
        <v>108</v>
      </c>
      <c r="H105" s="45" t="s">
        <v>49</v>
      </c>
      <c r="I105" s="46"/>
    </row>
    <row r="106" customFormat="false" ht="15.75" hidden="false" customHeight="true" outlineLevel="0" collapsed="false">
      <c r="A106" s="38" t="n">
        <v>97</v>
      </c>
      <c r="B106" s="39" t="n">
        <v>1</v>
      </c>
      <c r="C106" s="40" t="s">
        <v>111</v>
      </c>
      <c r="D106" s="41" t="s">
        <v>204</v>
      </c>
      <c r="E106" s="42" t="s">
        <v>205</v>
      </c>
      <c r="F106" s="43" t="n">
        <v>9</v>
      </c>
      <c r="G106" s="44" t="s">
        <v>108</v>
      </c>
      <c r="H106" s="45" t="s">
        <v>49</v>
      </c>
      <c r="I106" s="47"/>
    </row>
    <row r="107" customFormat="false" ht="15.75" hidden="false" customHeight="true" outlineLevel="0" collapsed="false">
      <c r="A107" s="38" t="n">
        <v>98</v>
      </c>
      <c r="B107" s="39" t="n">
        <v>1</v>
      </c>
      <c r="C107" s="39" t="s">
        <v>110</v>
      </c>
      <c r="D107" s="41" t="s">
        <v>207</v>
      </c>
      <c r="E107" s="42" t="s">
        <v>208</v>
      </c>
      <c r="F107" s="43" t="n">
        <v>10</v>
      </c>
      <c r="G107" s="44" t="s">
        <v>108</v>
      </c>
      <c r="H107" s="45" t="s">
        <v>49</v>
      </c>
      <c r="I107" s="47"/>
    </row>
    <row r="108" customFormat="false" ht="15.75" hidden="false" customHeight="true" outlineLevel="0" collapsed="false">
      <c r="A108" s="38" t="n">
        <v>99</v>
      </c>
      <c r="B108" s="39" t="n">
        <v>1</v>
      </c>
      <c r="C108" s="40" t="s">
        <v>125</v>
      </c>
      <c r="D108" s="41" t="s">
        <v>207</v>
      </c>
      <c r="E108" s="42" t="s">
        <v>208</v>
      </c>
      <c r="F108" s="43" t="n">
        <v>9</v>
      </c>
      <c r="G108" s="44" t="s">
        <v>108</v>
      </c>
      <c r="H108" s="45" t="s">
        <v>49</v>
      </c>
      <c r="I108" s="47"/>
    </row>
    <row r="109" customFormat="false" ht="15.75" hidden="false" customHeight="true" outlineLevel="0" collapsed="false">
      <c r="A109" s="38" t="n">
        <v>100</v>
      </c>
      <c r="B109" s="39" t="n">
        <v>1</v>
      </c>
      <c r="C109" s="39" t="s">
        <v>124</v>
      </c>
      <c r="D109" s="41" t="s">
        <v>207</v>
      </c>
      <c r="E109" s="42" t="s">
        <v>208</v>
      </c>
      <c r="F109" s="43" t="n">
        <v>10</v>
      </c>
      <c r="G109" s="44" t="s">
        <v>108</v>
      </c>
      <c r="H109" s="45" t="s">
        <v>49</v>
      </c>
      <c r="I109" s="47"/>
    </row>
    <row r="110" customFormat="false" ht="15.75" hidden="false" customHeight="true" outlineLevel="0" collapsed="false">
      <c r="A110" s="38" t="n">
        <v>101</v>
      </c>
      <c r="B110" s="39" t="n">
        <v>1</v>
      </c>
      <c r="C110" s="40" t="s">
        <v>209</v>
      </c>
      <c r="D110" s="41" t="s">
        <v>207</v>
      </c>
      <c r="E110" s="42" t="s">
        <v>208</v>
      </c>
      <c r="F110" s="43" t="n">
        <v>8</v>
      </c>
      <c r="G110" s="44" t="s">
        <v>108</v>
      </c>
      <c r="H110" s="45" t="s">
        <v>49</v>
      </c>
      <c r="I110" s="47"/>
    </row>
    <row r="111" customFormat="false" ht="15.75" hidden="false" customHeight="true" outlineLevel="0" collapsed="false">
      <c r="A111" s="38" t="n">
        <v>102</v>
      </c>
      <c r="B111" s="39" t="n">
        <v>1</v>
      </c>
      <c r="C111" s="39" t="s">
        <v>109</v>
      </c>
      <c r="D111" s="41" t="s">
        <v>210</v>
      </c>
      <c r="E111" s="42" t="s">
        <v>211</v>
      </c>
      <c r="F111" s="43" t="n">
        <v>6</v>
      </c>
      <c r="G111" s="44" t="s">
        <v>108</v>
      </c>
      <c r="H111" s="45" t="s">
        <v>49</v>
      </c>
      <c r="I111" s="47"/>
    </row>
    <row r="112" customFormat="false" ht="15.75" hidden="false" customHeight="true" outlineLevel="0" collapsed="false">
      <c r="A112" s="38" t="n">
        <v>103</v>
      </c>
      <c r="B112" s="39" t="n">
        <v>1</v>
      </c>
      <c r="C112" s="40" t="s">
        <v>109</v>
      </c>
      <c r="D112" s="41" t="s">
        <v>212</v>
      </c>
      <c r="E112" s="42" t="s">
        <v>213</v>
      </c>
      <c r="F112" s="43" t="n">
        <v>10</v>
      </c>
      <c r="G112" s="44" t="s">
        <v>108</v>
      </c>
      <c r="H112" s="45" t="s">
        <v>49</v>
      </c>
      <c r="I112" s="47"/>
    </row>
    <row r="113" customFormat="false" ht="15.75" hidden="false" customHeight="true" outlineLevel="0" collapsed="false">
      <c r="A113" s="38" t="n">
        <v>104</v>
      </c>
      <c r="B113" s="39" t="n">
        <v>1</v>
      </c>
      <c r="C113" s="39" t="s">
        <v>110</v>
      </c>
      <c r="D113" s="41" t="s">
        <v>212</v>
      </c>
      <c r="E113" s="42" t="s">
        <v>213</v>
      </c>
      <c r="F113" s="43" t="n">
        <v>10</v>
      </c>
      <c r="G113" s="44" t="s">
        <v>108</v>
      </c>
      <c r="H113" s="45" t="s">
        <v>49</v>
      </c>
      <c r="I113" s="47"/>
    </row>
    <row r="114" customFormat="false" ht="15.75" hidden="false" customHeight="true" outlineLevel="0" collapsed="false">
      <c r="A114" s="38" t="n">
        <v>105</v>
      </c>
      <c r="B114" s="39" t="n">
        <v>1</v>
      </c>
      <c r="C114" s="40" t="s">
        <v>209</v>
      </c>
      <c r="D114" s="41" t="s">
        <v>212</v>
      </c>
      <c r="E114" s="42" t="s">
        <v>213</v>
      </c>
      <c r="F114" s="43" t="n">
        <v>10</v>
      </c>
      <c r="G114" s="44" t="s">
        <v>108</v>
      </c>
      <c r="H114" s="45" t="s">
        <v>49</v>
      </c>
      <c r="I114" s="47"/>
    </row>
    <row r="115" customFormat="false" ht="15.75" hidden="false" customHeight="true" outlineLevel="0" collapsed="false">
      <c r="A115" s="38" t="n">
        <v>106</v>
      </c>
      <c r="B115" s="39" t="n">
        <v>1</v>
      </c>
      <c r="C115" s="39" t="s">
        <v>129</v>
      </c>
      <c r="D115" s="41" t="s">
        <v>212</v>
      </c>
      <c r="E115" s="42" t="s">
        <v>213</v>
      </c>
      <c r="F115" s="43" t="n">
        <v>10</v>
      </c>
      <c r="G115" s="44" t="s">
        <v>108</v>
      </c>
      <c r="H115" s="45" t="s">
        <v>49</v>
      </c>
      <c r="I115" s="47"/>
    </row>
    <row r="116" customFormat="false" ht="15.75" hidden="false" customHeight="true" outlineLevel="0" collapsed="false">
      <c r="A116" s="38" t="n">
        <v>107</v>
      </c>
      <c r="B116" s="39" t="n">
        <v>1</v>
      </c>
      <c r="C116" s="40" t="s">
        <v>214</v>
      </c>
      <c r="D116" s="41" t="s">
        <v>215</v>
      </c>
      <c r="E116" s="42" t="s">
        <v>216</v>
      </c>
      <c r="F116" s="43" t="n">
        <v>7</v>
      </c>
      <c r="G116" s="44" t="s">
        <v>108</v>
      </c>
      <c r="H116" s="45" t="s">
        <v>49</v>
      </c>
      <c r="I116" s="47"/>
    </row>
    <row r="117" customFormat="false" ht="15.75" hidden="false" customHeight="true" outlineLevel="0" collapsed="false">
      <c r="A117" s="38" t="n">
        <v>108</v>
      </c>
      <c r="B117" s="39" t="n">
        <v>1</v>
      </c>
      <c r="C117" s="39" t="s">
        <v>147</v>
      </c>
      <c r="D117" s="41" t="s">
        <v>217</v>
      </c>
      <c r="E117" s="42" t="s">
        <v>218</v>
      </c>
      <c r="F117" s="43" t="n">
        <v>8</v>
      </c>
      <c r="G117" s="44" t="s">
        <v>108</v>
      </c>
      <c r="H117" s="45" t="s">
        <v>49</v>
      </c>
      <c r="I117" s="47"/>
    </row>
    <row r="118" customFormat="false" ht="15.75" hidden="false" customHeight="true" outlineLevel="0" collapsed="false">
      <c r="A118" s="38" t="n">
        <v>109</v>
      </c>
      <c r="B118" s="39" t="n">
        <v>1</v>
      </c>
      <c r="C118" s="40" t="s">
        <v>114</v>
      </c>
      <c r="D118" s="41" t="s">
        <v>219</v>
      </c>
      <c r="E118" s="42" t="s">
        <v>220</v>
      </c>
      <c r="F118" s="43" t="n">
        <v>9</v>
      </c>
      <c r="G118" s="44" t="s">
        <v>108</v>
      </c>
      <c r="H118" s="45" t="s">
        <v>49</v>
      </c>
      <c r="I118" s="47"/>
    </row>
    <row r="119" customFormat="false" ht="15.75" hidden="false" customHeight="true" outlineLevel="0" collapsed="false">
      <c r="A119" s="38" t="n">
        <v>110</v>
      </c>
      <c r="B119" s="39" t="n">
        <v>1</v>
      </c>
      <c r="C119" s="39" t="s">
        <v>116</v>
      </c>
      <c r="D119" s="41" t="s">
        <v>219</v>
      </c>
      <c r="E119" s="42" t="s">
        <v>220</v>
      </c>
      <c r="F119" s="43" t="n">
        <v>10</v>
      </c>
      <c r="G119" s="44" t="s">
        <v>108</v>
      </c>
      <c r="H119" s="45" t="s">
        <v>49</v>
      </c>
      <c r="I119" s="47"/>
    </row>
    <row r="120" customFormat="false" ht="15.75" hidden="false" customHeight="true" outlineLevel="0" collapsed="false">
      <c r="A120" s="38" t="n">
        <v>111</v>
      </c>
      <c r="B120" s="39" t="n">
        <v>1</v>
      </c>
      <c r="C120" s="40" t="s">
        <v>155</v>
      </c>
      <c r="D120" s="41" t="s">
        <v>219</v>
      </c>
      <c r="E120" s="42" t="s">
        <v>220</v>
      </c>
      <c r="F120" s="43" t="n">
        <v>8</v>
      </c>
      <c r="G120" s="44" t="s">
        <v>108</v>
      </c>
      <c r="H120" s="45" t="s">
        <v>49</v>
      </c>
      <c r="I120" s="47"/>
    </row>
    <row r="121" customFormat="false" ht="15.75" hidden="false" customHeight="true" outlineLevel="0" collapsed="false">
      <c r="A121" s="38" t="n">
        <v>112</v>
      </c>
      <c r="B121" s="39" t="n">
        <v>1</v>
      </c>
      <c r="C121" s="39" t="s">
        <v>148</v>
      </c>
      <c r="D121" s="41" t="s">
        <v>221</v>
      </c>
      <c r="E121" s="42" t="s">
        <v>222</v>
      </c>
      <c r="F121" s="43" t="n">
        <v>9</v>
      </c>
      <c r="G121" s="44" t="s">
        <v>108</v>
      </c>
      <c r="H121" s="45" t="s">
        <v>49</v>
      </c>
      <c r="I121" s="47"/>
    </row>
    <row r="122" customFormat="false" ht="15.75" hidden="false" customHeight="true" outlineLevel="0" collapsed="false">
      <c r="A122" s="38" t="n">
        <v>113</v>
      </c>
      <c r="B122" s="39" t="n">
        <v>1</v>
      </c>
      <c r="C122" s="40" t="s">
        <v>110</v>
      </c>
      <c r="D122" s="41" t="s">
        <v>221</v>
      </c>
      <c r="E122" s="42" t="s">
        <v>222</v>
      </c>
      <c r="F122" s="43" t="n">
        <v>10</v>
      </c>
      <c r="G122" s="44" t="s">
        <v>108</v>
      </c>
      <c r="H122" s="45" t="s">
        <v>49</v>
      </c>
      <c r="I122" s="47"/>
    </row>
    <row r="123" customFormat="false" ht="15.75" hidden="false" customHeight="true" outlineLevel="0" collapsed="false">
      <c r="A123" s="38" t="n">
        <v>114</v>
      </c>
      <c r="B123" s="39" t="n">
        <v>1</v>
      </c>
      <c r="C123" s="39" t="s">
        <v>105</v>
      </c>
      <c r="D123" s="41" t="s">
        <v>221</v>
      </c>
      <c r="E123" s="42" t="s">
        <v>222</v>
      </c>
      <c r="F123" s="43" t="n">
        <v>10</v>
      </c>
      <c r="G123" s="44" t="s">
        <v>108</v>
      </c>
      <c r="H123" s="45" t="s">
        <v>49</v>
      </c>
      <c r="I123" s="47"/>
    </row>
    <row r="124" customFormat="false" ht="15" hidden="false" customHeight="true" outlineLevel="0" collapsed="false">
      <c r="A124" s="38" t="n">
        <v>115</v>
      </c>
      <c r="B124" s="39" t="n">
        <v>1</v>
      </c>
      <c r="C124" s="39" t="s">
        <v>117</v>
      </c>
      <c r="D124" s="41" t="s">
        <v>221</v>
      </c>
      <c r="E124" s="42" t="s">
        <v>222</v>
      </c>
      <c r="F124" s="43" t="n">
        <v>9</v>
      </c>
      <c r="G124" s="44" t="s">
        <v>108</v>
      </c>
      <c r="H124" s="45" t="s">
        <v>49</v>
      </c>
      <c r="I124" s="47"/>
    </row>
    <row r="125" customFormat="false" ht="15" hidden="false" customHeight="true" outlineLevel="0" collapsed="false">
      <c r="A125" s="38" t="n">
        <v>116</v>
      </c>
      <c r="B125" s="39" t="n">
        <v>1</v>
      </c>
      <c r="C125" s="39" t="s">
        <v>115</v>
      </c>
      <c r="D125" s="41" t="s">
        <v>221</v>
      </c>
      <c r="E125" s="42" t="s">
        <v>222</v>
      </c>
      <c r="F125" s="43" t="n">
        <v>9</v>
      </c>
      <c r="G125" s="44" t="s">
        <v>108</v>
      </c>
      <c r="H125" s="45" t="s">
        <v>49</v>
      </c>
      <c r="I125" s="47"/>
    </row>
    <row r="126" customFormat="false" ht="15" hidden="false" customHeight="true" outlineLevel="0" collapsed="false">
      <c r="A126" s="38" t="n">
        <v>117</v>
      </c>
      <c r="B126" s="39" t="n">
        <v>1</v>
      </c>
      <c r="C126" s="39" t="s">
        <v>120</v>
      </c>
      <c r="D126" s="41" t="s">
        <v>221</v>
      </c>
      <c r="E126" s="42" t="s">
        <v>222</v>
      </c>
      <c r="F126" s="43" t="n">
        <v>8</v>
      </c>
      <c r="G126" s="44" t="s">
        <v>108</v>
      </c>
      <c r="H126" s="45" t="s">
        <v>49</v>
      </c>
      <c r="I126" s="47"/>
    </row>
    <row r="127" customFormat="false" ht="15" hidden="false" customHeight="true" outlineLevel="0" collapsed="false">
      <c r="A127" s="38" t="n">
        <v>118</v>
      </c>
      <c r="B127" s="39" t="n">
        <v>1</v>
      </c>
      <c r="C127" s="39" t="s">
        <v>147</v>
      </c>
      <c r="D127" s="41" t="s">
        <v>221</v>
      </c>
      <c r="E127" s="42" t="s">
        <v>222</v>
      </c>
      <c r="F127" s="43" t="n">
        <v>9</v>
      </c>
      <c r="G127" s="44" t="s">
        <v>108</v>
      </c>
      <c r="H127" s="45" t="s">
        <v>49</v>
      </c>
      <c r="I127" s="47"/>
    </row>
    <row r="128" customFormat="false" ht="15" hidden="false" customHeight="true" outlineLevel="0" collapsed="false">
      <c r="A128" s="38" t="n">
        <v>119</v>
      </c>
      <c r="B128" s="39" t="n">
        <v>1</v>
      </c>
      <c r="C128" s="39" t="s">
        <v>120</v>
      </c>
      <c r="D128" s="41" t="s">
        <v>223</v>
      </c>
      <c r="E128" s="42" t="s">
        <v>224</v>
      </c>
      <c r="F128" s="43" t="n">
        <v>7</v>
      </c>
      <c r="G128" s="44" t="s">
        <v>108</v>
      </c>
      <c r="H128" s="45" t="s">
        <v>49</v>
      </c>
      <c r="I128" s="47"/>
    </row>
    <row r="129" customFormat="false" ht="15" hidden="false" customHeight="true" outlineLevel="0" collapsed="false">
      <c r="A129" s="50" t="n">
        <v>120</v>
      </c>
      <c r="B129" s="39" t="n">
        <v>1</v>
      </c>
      <c r="C129" s="39" t="s">
        <v>147</v>
      </c>
      <c r="D129" s="41" t="s">
        <v>223</v>
      </c>
      <c r="E129" s="42" t="s">
        <v>224</v>
      </c>
      <c r="F129" s="51" t="n">
        <v>7</v>
      </c>
      <c r="G129" s="44" t="s">
        <v>108</v>
      </c>
      <c r="H129" s="45" t="s">
        <v>49</v>
      </c>
      <c r="I129" s="48"/>
    </row>
    <row r="130" customFormat="false" ht="14.25" hidden="false" customHeight="false" outlineLevel="0" collapsed="false">
      <c r="A130" s="52" t="s">
        <v>225</v>
      </c>
      <c r="B130" s="53"/>
      <c r="C130" s="53"/>
      <c r="D130" s="53"/>
      <c r="E130" s="53"/>
      <c r="F130" s="53"/>
      <c r="G130" s="53"/>
      <c r="H130" s="53"/>
      <c r="I130" s="53"/>
    </row>
    <row r="131" customFormat="false" ht="14.25" hidden="false" customHeight="false" outlineLevel="0" collapsed="false">
      <c r="A131" s="54"/>
      <c r="B131" s="55" t="n">
        <v>5</v>
      </c>
      <c r="C131" s="39" t="s">
        <v>131</v>
      </c>
      <c r="D131" s="56" t="s">
        <v>226</v>
      </c>
      <c r="E131" s="42" t="s">
        <v>227</v>
      </c>
      <c r="F131" s="51" t="n">
        <v>10</v>
      </c>
      <c r="G131" s="57" t="s">
        <v>108</v>
      </c>
      <c r="H131" s="58" t="s">
        <v>49</v>
      </c>
      <c r="I131" s="48"/>
    </row>
    <row r="132" customFormat="false" ht="14.25" hidden="false" customHeight="false" outlineLevel="0" collapsed="false">
      <c r="A132" s="59"/>
      <c r="B132" s="55" t="n">
        <v>5</v>
      </c>
      <c r="C132" s="39" t="s">
        <v>111</v>
      </c>
      <c r="D132" s="56" t="s">
        <v>226</v>
      </c>
      <c r="E132" s="42" t="s">
        <v>227</v>
      </c>
      <c r="F132" s="51" t="n">
        <v>9</v>
      </c>
      <c r="G132" s="57" t="s">
        <v>108</v>
      </c>
      <c r="H132" s="58" t="s">
        <v>49</v>
      </c>
      <c r="I132" s="48"/>
    </row>
    <row r="133" customFormat="false" ht="14.25" hidden="false" customHeight="false" outlineLevel="0" collapsed="false">
      <c r="A133" s="59"/>
      <c r="B133" s="55" t="n">
        <v>5</v>
      </c>
      <c r="C133" s="39" t="s">
        <v>116</v>
      </c>
      <c r="D133" s="56" t="s">
        <v>228</v>
      </c>
      <c r="E133" s="60" t="s">
        <v>229</v>
      </c>
      <c r="F133" s="51" t="s">
        <v>128</v>
      </c>
      <c r="G133" s="57" t="s">
        <v>108</v>
      </c>
      <c r="H133" s="58" t="s">
        <v>49</v>
      </c>
      <c r="I133" s="48"/>
    </row>
    <row r="134" customFormat="false" ht="14.25" hidden="false" customHeight="false" outlineLevel="0" collapsed="false">
      <c r="A134" s="59"/>
      <c r="B134" s="55" t="n">
        <v>5</v>
      </c>
      <c r="C134" s="39" t="s">
        <v>120</v>
      </c>
      <c r="D134" s="56" t="s">
        <v>230</v>
      </c>
      <c r="E134" s="60" t="s">
        <v>231</v>
      </c>
      <c r="F134" s="51" t="n">
        <v>6</v>
      </c>
      <c r="G134" s="57" t="s">
        <v>108</v>
      </c>
      <c r="H134" s="58" t="s">
        <v>49</v>
      </c>
      <c r="I134" s="48"/>
    </row>
    <row r="135" customFormat="false" ht="14.25" hidden="false" customHeight="false" outlineLevel="0" collapsed="false">
      <c r="A135" s="59"/>
      <c r="B135" s="55" t="n">
        <v>5</v>
      </c>
      <c r="C135" s="39" t="s">
        <v>117</v>
      </c>
      <c r="D135" s="56" t="s">
        <v>230</v>
      </c>
      <c r="E135" s="60" t="s">
        <v>231</v>
      </c>
      <c r="F135" s="51" t="n">
        <v>8</v>
      </c>
      <c r="G135" s="57" t="s">
        <v>108</v>
      </c>
      <c r="H135" s="58" t="s">
        <v>49</v>
      </c>
      <c r="I135" s="48"/>
    </row>
    <row r="136" customFormat="false" ht="14.25" hidden="false" customHeight="false" outlineLevel="0" collapsed="false">
      <c r="A136" s="59"/>
      <c r="B136" s="55" t="n">
        <v>5</v>
      </c>
      <c r="C136" s="39" t="s">
        <v>105</v>
      </c>
      <c r="D136" s="56" t="s">
        <v>230</v>
      </c>
      <c r="E136" s="60" t="s">
        <v>231</v>
      </c>
      <c r="F136" s="51" t="n">
        <v>8</v>
      </c>
      <c r="G136" s="57" t="s">
        <v>108</v>
      </c>
      <c r="H136" s="58" t="s">
        <v>49</v>
      </c>
      <c r="I136" s="48"/>
    </row>
    <row r="137" customFormat="false" ht="14.25" hidden="false" customHeight="false" outlineLevel="0" collapsed="false">
      <c r="A137" s="59"/>
      <c r="B137" s="55" t="n">
        <v>5</v>
      </c>
      <c r="C137" s="39" t="s">
        <v>147</v>
      </c>
      <c r="D137" s="56" t="s">
        <v>230</v>
      </c>
      <c r="E137" s="60" t="s">
        <v>231</v>
      </c>
      <c r="F137" s="51" t="n">
        <v>7</v>
      </c>
      <c r="G137" s="57" t="s">
        <v>108</v>
      </c>
      <c r="H137" s="58" t="s">
        <v>49</v>
      </c>
      <c r="I137" s="48"/>
    </row>
    <row r="138" customFormat="false" ht="14.25" hidden="false" customHeight="false" outlineLevel="0" collapsed="false">
      <c r="A138" s="59"/>
      <c r="B138" s="55" t="n">
        <v>5</v>
      </c>
      <c r="C138" s="39" t="s">
        <v>120</v>
      </c>
      <c r="D138" s="56" t="s">
        <v>232</v>
      </c>
      <c r="E138" s="60" t="s">
        <v>233</v>
      </c>
      <c r="F138" s="51" t="n">
        <v>7</v>
      </c>
      <c r="G138" s="57" t="s">
        <v>108</v>
      </c>
      <c r="H138" s="58" t="s">
        <v>49</v>
      </c>
      <c r="I138" s="48"/>
    </row>
    <row r="139" customFormat="false" ht="14.25" hidden="false" customHeight="false" outlineLevel="0" collapsed="false">
      <c r="A139" s="59"/>
      <c r="B139" s="55" t="n">
        <v>5</v>
      </c>
      <c r="C139" s="39" t="s">
        <v>121</v>
      </c>
      <c r="D139" s="56" t="s">
        <v>232</v>
      </c>
      <c r="E139" s="60" t="s">
        <v>233</v>
      </c>
      <c r="F139" s="51" t="n">
        <v>10</v>
      </c>
      <c r="G139" s="57" t="s">
        <v>108</v>
      </c>
      <c r="H139" s="58" t="s">
        <v>49</v>
      </c>
      <c r="I139" s="48"/>
    </row>
    <row r="140" customFormat="false" ht="14.25" hidden="false" customHeight="false" outlineLevel="0" collapsed="false">
      <c r="A140" s="59"/>
      <c r="B140" s="55" t="n">
        <v>5</v>
      </c>
      <c r="C140" s="39" t="s">
        <v>143</v>
      </c>
      <c r="D140" s="56" t="s">
        <v>232</v>
      </c>
      <c r="E140" s="60" t="s">
        <v>233</v>
      </c>
      <c r="F140" s="51" t="n">
        <v>8</v>
      </c>
      <c r="G140" s="57" t="s">
        <v>108</v>
      </c>
      <c r="H140" s="58" t="s">
        <v>49</v>
      </c>
      <c r="I140" s="48"/>
    </row>
    <row r="141" customFormat="false" ht="14.25" hidden="false" customHeight="false" outlineLevel="0" collapsed="false">
      <c r="A141" s="59"/>
      <c r="B141" s="55" t="n">
        <v>5</v>
      </c>
      <c r="C141" s="39" t="s">
        <v>209</v>
      </c>
      <c r="D141" s="56" t="s">
        <v>234</v>
      </c>
      <c r="E141" s="60" t="s">
        <v>235</v>
      </c>
      <c r="F141" s="51" t="s">
        <v>128</v>
      </c>
      <c r="G141" s="57" t="s">
        <v>108</v>
      </c>
      <c r="H141" s="58" t="s">
        <v>49</v>
      </c>
      <c r="I141" s="48"/>
    </row>
    <row r="142" customFormat="false" ht="14.25" hidden="false" customHeight="false" outlineLevel="0" collapsed="false">
      <c r="A142" s="59"/>
      <c r="B142" s="55" t="n">
        <v>5</v>
      </c>
      <c r="C142" s="39" t="s">
        <v>125</v>
      </c>
      <c r="D142" s="56" t="s">
        <v>234</v>
      </c>
      <c r="E142" s="60" t="s">
        <v>235</v>
      </c>
      <c r="F142" s="51" t="n">
        <v>10</v>
      </c>
      <c r="G142" s="57" t="s">
        <v>108</v>
      </c>
      <c r="H142" s="58" t="s">
        <v>49</v>
      </c>
      <c r="I142" s="48"/>
    </row>
    <row r="143" customFormat="false" ht="14.25" hidden="false" customHeight="false" outlineLevel="0" collapsed="false">
      <c r="A143" s="59"/>
      <c r="B143" s="55" t="n">
        <v>5</v>
      </c>
      <c r="C143" s="39" t="s">
        <v>120</v>
      </c>
      <c r="D143" s="56" t="s">
        <v>234</v>
      </c>
      <c r="E143" s="60" t="s">
        <v>235</v>
      </c>
      <c r="F143" s="51" t="n">
        <v>10</v>
      </c>
      <c r="G143" s="57" t="s">
        <v>108</v>
      </c>
      <c r="H143" s="58" t="s">
        <v>49</v>
      </c>
      <c r="I143" s="48"/>
    </row>
    <row r="144" customFormat="false" ht="14.25" hidden="false" customHeight="false" outlineLevel="0" collapsed="false">
      <c r="A144" s="59"/>
      <c r="B144" s="55" t="n">
        <v>5</v>
      </c>
      <c r="C144" s="39" t="s">
        <v>117</v>
      </c>
      <c r="D144" s="56" t="s">
        <v>234</v>
      </c>
      <c r="E144" s="60" t="s">
        <v>235</v>
      </c>
      <c r="F144" s="51" t="n">
        <v>10</v>
      </c>
      <c r="G144" s="57" t="s">
        <v>108</v>
      </c>
      <c r="H144" s="58" t="s">
        <v>49</v>
      </c>
      <c r="I144" s="48"/>
    </row>
    <row r="145" customFormat="false" ht="14.25" hidden="false" customHeight="false" outlineLevel="0" collapsed="false">
      <c r="A145" s="59"/>
      <c r="B145" s="55" t="n">
        <v>5</v>
      </c>
      <c r="C145" s="39" t="s">
        <v>124</v>
      </c>
      <c r="D145" s="56" t="s">
        <v>234</v>
      </c>
      <c r="E145" s="60" t="s">
        <v>235</v>
      </c>
      <c r="F145" s="51" t="n">
        <v>9</v>
      </c>
      <c r="G145" s="57" t="s">
        <v>108</v>
      </c>
      <c r="H145" s="58" t="s">
        <v>49</v>
      </c>
      <c r="I145" s="48"/>
    </row>
    <row r="146" customFormat="false" ht="14.25" hidden="false" customHeight="false" outlineLevel="0" collapsed="false">
      <c r="A146" s="59"/>
      <c r="B146" s="55" t="n">
        <v>5</v>
      </c>
      <c r="C146" s="39" t="s">
        <v>111</v>
      </c>
      <c r="D146" s="56" t="s">
        <v>236</v>
      </c>
      <c r="E146" s="60" t="s">
        <v>237</v>
      </c>
      <c r="F146" s="51" t="n">
        <v>9</v>
      </c>
      <c r="G146" s="57" t="s">
        <v>108</v>
      </c>
      <c r="H146" s="58" t="s">
        <v>49</v>
      </c>
      <c r="I146" s="48"/>
    </row>
    <row r="147" customFormat="false" ht="14.25" hidden="false" customHeight="false" outlineLevel="0" collapsed="false">
      <c r="A147" s="59"/>
      <c r="B147" s="55" t="n">
        <v>5</v>
      </c>
      <c r="C147" s="39" t="s">
        <v>117</v>
      </c>
      <c r="D147" s="56" t="s">
        <v>236</v>
      </c>
      <c r="E147" s="60" t="s">
        <v>237</v>
      </c>
      <c r="F147" s="51" t="n">
        <v>9</v>
      </c>
      <c r="G147" s="57" t="s">
        <v>108</v>
      </c>
      <c r="H147" s="58" t="s">
        <v>49</v>
      </c>
      <c r="I147" s="48"/>
    </row>
    <row r="148" customFormat="false" ht="14.25" hidden="false" customHeight="false" outlineLevel="0" collapsed="false">
      <c r="A148" s="59"/>
      <c r="B148" s="55" t="n">
        <v>5</v>
      </c>
      <c r="C148" s="39" t="s">
        <v>120</v>
      </c>
      <c r="D148" s="56" t="s">
        <v>236</v>
      </c>
      <c r="E148" s="60" t="s">
        <v>237</v>
      </c>
      <c r="F148" s="51" t="n">
        <v>9</v>
      </c>
      <c r="G148" s="57" t="s">
        <v>108</v>
      </c>
      <c r="H148" s="58" t="s">
        <v>49</v>
      </c>
      <c r="I148" s="48"/>
    </row>
    <row r="149" customFormat="false" ht="14.25" hidden="false" customHeight="false" outlineLevel="0" collapsed="false">
      <c r="A149" s="59"/>
      <c r="B149" s="55" t="n">
        <v>5</v>
      </c>
      <c r="C149" s="39" t="s">
        <v>120</v>
      </c>
      <c r="D149" s="56" t="s">
        <v>238</v>
      </c>
      <c r="E149" s="60" t="s">
        <v>239</v>
      </c>
      <c r="F149" s="51" t="n">
        <v>9</v>
      </c>
      <c r="G149" s="57" t="s">
        <v>108</v>
      </c>
      <c r="H149" s="58" t="s">
        <v>49</v>
      </c>
      <c r="I149" s="48"/>
    </row>
    <row r="150" customFormat="false" ht="14.25" hidden="false" customHeight="false" outlineLevel="0" collapsed="false">
      <c r="A150" s="59"/>
      <c r="B150" s="55" t="n">
        <v>5</v>
      </c>
      <c r="C150" s="39" t="s">
        <v>117</v>
      </c>
      <c r="D150" s="56" t="s">
        <v>238</v>
      </c>
      <c r="E150" s="60" t="s">
        <v>239</v>
      </c>
      <c r="F150" s="51" t="n">
        <v>9</v>
      </c>
      <c r="G150" s="57" t="s">
        <v>108</v>
      </c>
      <c r="H150" s="58" t="s">
        <v>49</v>
      </c>
      <c r="I150" s="48"/>
    </row>
    <row r="151" customFormat="false" ht="14.25" hidden="false" customHeight="false" outlineLevel="0" collapsed="false">
      <c r="A151" s="59"/>
      <c r="B151" s="55" t="n">
        <v>5</v>
      </c>
      <c r="C151" s="39" t="s">
        <v>110</v>
      </c>
      <c r="D151" s="56" t="s">
        <v>240</v>
      </c>
      <c r="E151" s="60" t="s">
        <v>241</v>
      </c>
      <c r="F151" s="51" t="n">
        <v>5</v>
      </c>
      <c r="G151" s="57" t="s">
        <v>108</v>
      </c>
      <c r="H151" s="58" t="s">
        <v>49</v>
      </c>
      <c r="I151" s="48"/>
    </row>
    <row r="152" customFormat="false" ht="14.25" hidden="false" customHeight="false" outlineLevel="0" collapsed="false">
      <c r="A152" s="59"/>
      <c r="B152" s="55" t="n">
        <v>5</v>
      </c>
      <c r="C152" s="39" t="s">
        <v>120</v>
      </c>
      <c r="D152" s="56" t="s">
        <v>240</v>
      </c>
      <c r="E152" s="60" t="s">
        <v>241</v>
      </c>
      <c r="F152" s="51" t="n">
        <v>5</v>
      </c>
      <c r="G152" s="57" t="s">
        <v>108</v>
      </c>
      <c r="H152" s="58" t="s">
        <v>49</v>
      </c>
      <c r="I152" s="48"/>
    </row>
    <row r="153" customFormat="false" ht="14.25" hidden="false" customHeight="false" outlineLevel="0" collapsed="false">
      <c r="A153" s="59"/>
      <c r="B153" s="55" t="n">
        <v>5</v>
      </c>
      <c r="C153" s="39" t="s">
        <v>117</v>
      </c>
      <c r="D153" s="56" t="s">
        <v>240</v>
      </c>
      <c r="E153" s="60" t="s">
        <v>241</v>
      </c>
      <c r="F153" s="51" t="n">
        <v>5</v>
      </c>
      <c r="G153" s="57" t="s">
        <v>108</v>
      </c>
      <c r="H153" s="58" t="s">
        <v>49</v>
      </c>
      <c r="I153" s="48"/>
    </row>
    <row r="154" customFormat="false" ht="14.25" hidden="false" customHeight="false" outlineLevel="0" collapsed="false">
      <c r="A154" s="59"/>
      <c r="B154" s="55" t="n">
        <v>5</v>
      </c>
      <c r="C154" s="39" t="s">
        <v>117</v>
      </c>
      <c r="D154" s="56" t="s">
        <v>242</v>
      </c>
      <c r="E154" s="60" t="s">
        <v>243</v>
      </c>
      <c r="F154" s="51" t="n">
        <v>9</v>
      </c>
      <c r="G154" s="57" t="s">
        <v>108</v>
      </c>
      <c r="H154" s="58" t="s">
        <v>49</v>
      </c>
      <c r="I154" s="48"/>
    </row>
    <row r="155" customFormat="false" ht="14.25" hidden="false" customHeight="false" outlineLevel="0" collapsed="false">
      <c r="A155" s="59"/>
      <c r="B155" s="55" t="n">
        <v>5</v>
      </c>
      <c r="C155" s="39" t="s">
        <v>164</v>
      </c>
      <c r="D155" s="56" t="s">
        <v>244</v>
      </c>
      <c r="E155" s="60" t="s">
        <v>245</v>
      </c>
      <c r="F155" s="51" t="n">
        <v>9</v>
      </c>
      <c r="G155" s="57" t="s">
        <v>108</v>
      </c>
      <c r="H155" s="58" t="s">
        <v>49</v>
      </c>
      <c r="I155" s="48"/>
    </row>
    <row r="156" customFormat="false" ht="14.25" hidden="false" customHeight="false" outlineLevel="0" collapsed="false">
      <c r="A156" s="59"/>
      <c r="B156" s="55" t="n">
        <v>5</v>
      </c>
      <c r="C156" s="39" t="s">
        <v>209</v>
      </c>
      <c r="D156" s="56" t="s">
        <v>246</v>
      </c>
      <c r="E156" s="60" t="s">
        <v>247</v>
      </c>
      <c r="F156" s="51" t="n">
        <v>10</v>
      </c>
      <c r="G156" s="57" t="s">
        <v>108</v>
      </c>
      <c r="H156" s="58" t="s">
        <v>49</v>
      </c>
      <c r="I156" s="48"/>
    </row>
    <row r="157" customFormat="false" ht="14.25" hidden="false" customHeight="false" outlineLevel="0" collapsed="false">
      <c r="A157" s="59"/>
      <c r="B157" s="55" t="n">
        <v>5</v>
      </c>
      <c r="C157" s="39" t="s">
        <v>110</v>
      </c>
      <c r="D157" s="56" t="s">
        <v>246</v>
      </c>
      <c r="E157" s="60" t="s">
        <v>247</v>
      </c>
      <c r="F157" s="51" t="n">
        <v>10</v>
      </c>
      <c r="G157" s="57" t="s">
        <v>108</v>
      </c>
      <c r="H157" s="58" t="s">
        <v>49</v>
      </c>
      <c r="I157" s="48"/>
    </row>
    <row r="158" customFormat="false" ht="14.25" hidden="false" customHeight="false" outlineLevel="0" collapsed="false">
      <c r="A158" s="59"/>
      <c r="B158" s="55" t="n">
        <v>5</v>
      </c>
      <c r="C158" s="39" t="s">
        <v>125</v>
      </c>
      <c r="D158" s="56" t="s">
        <v>246</v>
      </c>
      <c r="E158" s="60" t="s">
        <v>247</v>
      </c>
      <c r="F158" s="51" t="n">
        <v>10</v>
      </c>
      <c r="G158" s="57" t="s">
        <v>108</v>
      </c>
      <c r="H158" s="58" t="s">
        <v>49</v>
      </c>
      <c r="I158" s="48"/>
    </row>
    <row r="159" customFormat="false" ht="14.25" hidden="false" customHeight="false" outlineLevel="0" collapsed="false">
      <c r="A159" s="59"/>
      <c r="B159" s="55" t="n">
        <v>5</v>
      </c>
      <c r="C159" s="39" t="s">
        <v>129</v>
      </c>
      <c r="D159" s="56" t="s">
        <v>246</v>
      </c>
      <c r="E159" s="60" t="s">
        <v>247</v>
      </c>
      <c r="F159" s="51" t="n">
        <v>10</v>
      </c>
      <c r="G159" s="57" t="s">
        <v>108</v>
      </c>
      <c r="H159" s="58" t="s">
        <v>49</v>
      </c>
      <c r="I159" s="48"/>
    </row>
    <row r="160" customFormat="false" ht="14.25" hidden="false" customHeight="false" outlineLevel="0" collapsed="false">
      <c r="A160" s="59"/>
      <c r="B160" s="55" t="n">
        <v>5</v>
      </c>
      <c r="C160" s="39" t="s">
        <v>109</v>
      </c>
      <c r="D160" s="56" t="s">
        <v>246</v>
      </c>
      <c r="E160" s="60" t="s">
        <v>247</v>
      </c>
      <c r="F160" s="51" t="n">
        <v>10</v>
      </c>
      <c r="G160" s="57" t="s">
        <v>108</v>
      </c>
      <c r="H160" s="58" t="s">
        <v>49</v>
      </c>
      <c r="I160" s="48"/>
    </row>
    <row r="161" customFormat="false" ht="14.25" hidden="false" customHeight="false" outlineLevel="0" collapsed="false">
      <c r="A161" s="59"/>
      <c r="B161" s="55" t="n">
        <v>5</v>
      </c>
      <c r="C161" s="39" t="s">
        <v>248</v>
      </c>
      <c r="D161" s="56" t="s">
        <v>246</v>
      </c>
      <c r="E161" s="60" t="s">
        <v>247</v>
      </c>
      <c r="F161" s="51" t="n">
        <v>10</v>
      </c>
      <c r="G161" s="57" t="s">
        <v>108</v>
      </c>
      <c r="H161" s="58" t="s">
        <v>49</v>
      </c>
      <c r="I161" s="48"/>
    </row>
    <row r="162" customFormat="false" ht="14.25" hidden="false" customHeight="false" outlineLevel="0" collapsed="false">
      <c r="A162" s="59"/>
      <c r="B162" s="55" t="n">
        <v>5</v>
      </c>
      <c r="C162" s="39" t="s">
        <v>111</v>
      </c>
      <c r="D162" s="56" t="s">
        <v>249</v>
      </c>
      <c r="E162" s="60" t="s">
        <v>250</v>
      </c>
      <c r="F162" s="51" t="n">
        <v>9</v>
      </c>
      <c r="G162" s="57" t="s">
        <v>108</v>
      </c>
      <c r="H162" s="58" t="s">
        <v>49</v>
      </c>
      <c r="I162" s="48"/>
    </row>
    <row r="163" customFormat="false" ht="14.25" hidden="false" customHeight="false" outlineLevel="0" collapsed="false">
      <c r="A163" s="59"/>
      <c r="B163" s="55" t="n">
        <v>5</v>
      </c>
      <c r="C163" s="39" t="s">
        <v>105</v>
      </c>
      <c r="D163" s="56" t="s">
        <v>249</v>
      </c>
      <c r="E163" s="60" t="s">
        <v>250</v>
      </c>
      <c r="F163" s="51" t="n">
        <v>10</v>
      </c>
      <c r="G163" s="57" t="s">
        <v>108</v>
      </c>
      <c r="H163" s="58" t="s">
        <v>49</v>
      </c>
      <c r="I163" s="48"/>
    </row>
    <row r="164" customFormat="false" ht="14.25" hidden="false" customHeight="false" outlineLevel="0" collapsed="false">
      <c r="A164" s="59"/>
      <c r="B164" s="55" t="n">
        <v>5</v>
      </c>
      <c r="C164" s="39" t="s">
        <v>168</v>
      </c>
      <c r="D164" s="56" t="s">
        <v>249</v>
      </c>
      <c r="E164" s="60" t="s">
        <v>250</v>
      </c>
      <c r="F164" s="51" t="n">
        <v>8</v>
      </c>
      <c r="G164" s="57" t="s">
        <v>108</v>
      </c>
      <c r="H164" s="58" t="s">
        <v>49</v>
      </c>
      <c r="I164" s="48"/>
    </row>
    <row r="165" customFormat="false" ht="14.25" hidden="false" customHeight="false" outlineLevel="0" collapsed="false">
      <c r="A165" s="59"/>
      <c r="B165" s="55" t="n">
        <v>5</v>
      </c>
      <c r="C165" s="39" t="s">
        <v>164</v>
      </c>
      <c r="D165" s="56" t="s">
        <v>249</v>
      </c>
      <c r="E165" s="60" t="s">
        <v>250</v>
      </c>
      <c r="F165" s="51" t="s">
        <v>251</v>
      </c>
      <c r="G165" s="57" t="s">
        <v>108</v>
      </c>
      <c r="H165" s="58" t="s">
        <v>49</v>
      </c>
      <c r="I165" s="48"/>
    </row>
    <row r="166" customFormat="false" ht="14.25" hidden="false" customHeight="false" outlineLevel="0" collapsed="false">
      <c r="A166" s="59"/>
      <c r="B166" s="55" t="n">
        <v>5</v>
      </c>
      <c r="C166" s="39" t="s">
        <v>115</v>
      </c>
      <c r="D166" s="56" t="s">
        <v>249</v>
      </c>
      <c r="E166" s="60" t="s">
        <v>250</v>
      </c>
      <c r="F166" s="51" t="n">
        <v>10</v>
      </c>
      <c r="G166" s="57" t="s">
        <v>108</v>
      </c>
      <c r="H166" s="58" t="s">
        <v>49</v>
      </c>
      <c r="I166" s="48"/>
    </row>
    <row r="167" customFormat="false" ht="14.25" hidden="false" customHeight="false" outlineLevel="0" collapsed="false">
      <c r="A167" s="59"/>
      <c r="B167" s="55" t="n">
        <v>5</v>
      </c>
      <c r="C167" s="39" t="s">
        <v>138</v>
      </c>
      <c r="D167" s="56" t="s">
        <v>249</v>
      </c>
      <c r="E167" s="60" t="s">
        <v>250</v>
      </c>
      <c r="F167" s="51" t="n">
        <v>8</v>
      </c>
      <c r="G167" s="57" t="s">
        <v>108</v>
      </c>
      <c r="H167" s="58" t="s">
        <v>49</v>
      </c>
      <c r="I167" s="48"/>
    </row>
    <row r="168" customFormat="false" ht="14.25" hidden="false" customHeight="false" outlineLevel="0" collapsed="false">
      <c r="A168" s="59"/>
      <c r="B168" s="55" t="n">
        <v>5</v>
      </c>
      <c r="C168" s="39" t="s">
        <v>116</v>
      </c>
      <c r="D168" s="56" t="s">
        <v>249</v>
      </c>
      <c r="E168" s="60" t="s">
        <v>250</v>
      </c>
      <c r="F168" s="51" t="n">
        <v>8</v>
      </c>
      <c r="G168" s="57" t="s">
        <v>108</v>
      </c>
      <c r="H168" s="58" t="s">
        <v>49</v>
      </c>
      <c r="I168" s="48"/>
    </row>
    <row r="169" customFormat="false" ht="14.25" hidden="false" customHeight="false" outlineLevel="0" collapsed="false">
      <c r="A169" s="59"/>
      <c r="B169" s="55" t="n">
        <v>5</v>
      </c>
      <c r="C169" s="39" t="s">
        <v>110</v>
      </c>
      <c r="D169" s="56" t="s">
        <v>252</v>
      </c>
      <c r="E169" s="60" t="s">
        <v>253</v>
      </c>
      <c r="F169" s="51" t="n">
        <v>5</v>
      </c>
      <c r="G169" s="57" t="s">
        <v>108</v>
      </c>
      <c r="H169" s="58" t="s">
        <v>49</v>
      </c>
      <c r="I169" s="48"/>
    </row>
    <row r="170" customFormat="false" ht="14.25" hidden="false" customHeight="false" outlineLevel="0" collapsed="false">
      <c r="A170" s="59"/>
      <c r="B170" s="55" t="n">
        <v>5</v>
      </c>
      <c r="C170" s="39" t="s">
        <v>117</v>
      </c>
      <c r="D170" s="56" t="s">
        <v>252</v>
      </c>
      <c r="E170" s="60" t="s">
        <v>253</v>
      </c>
      <c r="F170" s="51" t="n">
        <v>5</v>
      </c>
      <c r="G170" s="57" t="s">
        <v>108</v>
      </c>
      <c r="H170" s="58" t="s">
        <v>49</v>
      </c>
      <c r="I170" s="48"/>
    </row>
    <row r="171" customFormat="false" ht="14.25" hidden="false" customHeight="false" outlineLevel="0" collapsed="false">
      <c r="A171" s="59"/>
      <c r="B171" s="55" t="n">
        <v>5</v>
      </c>
      <c r="C171" s="39" t="s">
        <v>120</v>
      </c>
      <c r="D171" s="56" t="s">
        <v>252</v>
      </c>
      <c r="E171" s="60" t="s">
        <v>253</v>
      </c>
      <c r="F171" s="51" t="n">
        <v>5</v>
      </c>
      <c r="G171" s="57" t="s">
        <v>108</v>
      </c>
      <c r="H171" s="58" t="s">
        <v>49</v>
      </c>
      <c r="I171" s="48"/>
    </row>
    <row r="172" customFormat="false" ht="14.25" hidden="false" customHeight="false" outlineLevel="0" collapsed="false">
      <c r="A172" s="59"/>
      <c r="B172" s="55" t="n">
        <v>5</v>
      </c>
      <c r="C172" s="39" t="s">
        <v>155</v>
      </c>
      <c r="D172" s="56" t="s">
        <v>254</v>
      </c>
      <c r="E172" s="60" t="s">
        <v>255</v>
      </c>
      <c r="F172" s="51" t="n">
        <v>8</v>
      </c>
      <c r="G172" s="57" t="s">
        <v>108</v>
      </c>
      <c r="H172" s="58" t="s">
        <v>49</v>
      </c>
      <c r="I172" s="48"/>
    </row>
    <row r="173" customFormat="false" ht="14.25" hidden="false" customHeight="false" outlineLevel="0" collapsed="false">
      <c r="A173" s="59"/>
      <c r="B173" s="55" t="n">
        <v>5</v>
      </c>
      <c r="C173" s="39" t="s">
        <v>209</v>
      </c>
      <c r="D173" s="56" t="s">
        <v>256</v>
      </c>
      <c r="E173" s="60" t="s">
        <v>257</v>
      </c>
      <c r="F173" s="51" t="n">
        <v>8</v>
      </c>
      <c r="G173" s="57" t="s">
        <v>108</v>
      </c>
      <c r="H173" s="58" t="s">
        <v>49</v>
      </c>
      <c r="I173" s="48"/>
    </row>
    <row r="174" customFormat="false" ht="14.25" hidden="false" customHeight="false" outlineLevel="0" collapsed="false">
      <c r="A174" s="59"/>
      <c r="B174" s="55" t="n">
        <v>5</v>
      </c>
      <c r="C174" s="39" t="s">
        <v>124</v>
      </c>
      <c r="D174" s="56" t="s">
        <v>256</v>
      </c>
      <c r="E174" s="60" t="s">
        <v>257</v>
      </c>
      <c r="F174" s="51" t="n">
        <v>9</v>
      </c>
      <c r="G174" s="57" t="s">
        <v>108</v>
      </c>
      <c r="H174" s="58" t="s">
        <v>49</v>
      </c>
      <c r="I174" s="48"/>
    </row>
    <row r="175" customFormat="false" ht="14.25" hidden="false" customHeight="false" outlineLevel="0" collapsed="false">
      <c r="A175" s="59"/>
      <c r="B175" s="55" t="n">
        <v>5</v>
      </c>
      <c r="C175" s="39" t="s">
        <v>258</v>
      </c>
      <c r="D175" s="56" t="s">
        <v>256</v>
      </c>
      <c r="E175" s="60" t="s">
        <v>257</v>
      </c>
      <c r="F175" s="51" t="n">
        <v>7</v>
      </c>
      <c r="G175" s="57" t="s">
        <v>108</v>
      </c>
      <c r="H175" s="58" t="s">
        <v>49</v>
      </c>
      <c r="I175" s="48"/>
    </row>
    <row r="176" customFormat="false" ht="14.25" hidden="false" customHeight="false" outlineLevel="0" collapsed="false">
      <c r="A176" s="59"/>
      <c r="B176" s="55" t="n">
        <v>4</v>
      </c>
      <c r="C176" s="39" t="s">
        <v>125</v>
      </c>
      <c r="D176" s="56" t="s">
        <v>259</v>
      </c>
      <c r="E176" s="60" t="s">
        <v>260</v>
      </c>
      <c r="F176" s="51" t="n">
        <v>9</v>
      </c>
      <c r="G176" s="57" t="s">
        <v>108</v>
      </c>
      <c r="H176" s="58" t="s">
        <v>49</v>
      </c>
      <c r="I176" s="48"/>
    </row>
    <row r="177" customFormat="false" ht="14.25" hidden="false" customHeight="false" outlineLevel="0" collapsed="false">
      <c r="A177" s="59"/>
      <c r="B177" s="55" t="n">
        <v>4</v>
      </c>
      <c r="C177" s="39" t="s">
        <v>261</v>
      </c>
      <c r="D177" s="56" t="s">
        <v>259</v>
      </c>
      <c r="E177" s="60" t="s">
        <v>260</v>
      </c>
      <c r="F177" s="51" t="n">
        <v>9</v>
      </c>
      <c r="G177" s="57" t="s">
        <v>108</v>
      </c>
      <c r="H177" s="58" t="s">
        <v>49</v>
      </c>
      <c r="I177" s="48"/>
    </row>
    <row r="178" customFormat="false" ht="14.25" hidden="false" customHeight="false" outlineLevel="0" collapsed="false">
      <c r="A178" s="59"/>
      <c r="B178" s="55" t="n">
        <v>4</v>
      </c>
      <c r="C178" s="39" t="s">
        <v>262</v>
      </c>
      <c r="D178" s="56" t="s">
        <v>259</v>
      </c>
      <c r="E178" s="60" t="s">
        <v>260</v>
      </c>
      <c r="F178" s="51" t="n">
        <v>9</v>
      </c>
      <c r="G178" s="57" t="s">
        <v>108</v>
      </c>
      <c r="H178" s="58" t="s">
        <v>49</v>
      </c>
      <c r="I178" s="48"/>
    </row>
    <row r="179" customFormat="false" ht="14.25" hidden="false" customHeight="false" outlineLevel="0" collapsed="false">
      <c r="A179" s="59"/>
      <c r="B179" s="55" t="n">
        <v>4</v>
      </c>
      <c r="C179" s="39" t="s">
        <v>263</v>
      </c>
      <c r="D179" s="56" t="s">
        <v>259</v>
      </c>
      <c r="E179" s="60" t="s">
        <v>260</v>
      </c>
      <c r="F179" s="51" t="n">
        <v>9</v>
      </c>
      <c r="G179" s="57" t="s">
        <v>108</v>
      </c>
      <c r="H179" s="58" t="s">
        <v>49</v>
      </c>
      <c r="I179" s="48"/>
    </row>
    <row r="180" customFormat="false" ht="14.25" hidden="false" customHeight="false" outlineLevel="0" collapsed="false">
      <c r="A180" s="59"/>
      <c r="B180" s="55" t="n">
        <v>5</v>
      </c>
      <c r="C180" s="39" t="s">
        <v>263</v>
      </c>
      <c r="D180" s="56" t="s">
        <v>238</v>
      </c>
      <c r="E180" s="60" t="s">
        <v>239</v>
      </c>
      <c r="F180" s="51" t="n">
        <v>9</v>
      </c>
      <c r="G180" s="57" t="s">
        <v>108</v>
      </c>
      <c r="H180" s="58" t="s">
        <v>49</v>
      </c>
      <c r="I180" s="48"/>
    </row>
    <row r="181" customFormat="false" ht="14.25" hidden="false" customHeight="false" outlineLevel="0" collapsed="false">
      <c r="A181" s="59"/>
      <c r="B181" s="55" t="n">
        <v>4</v>
      </c>
      <c r="C181" s="39" t="s">
        <v>147</v>
      </c>
      <c r="D181" s="56" t="s">
        <v>264</v>
      </c>
      <c r="E181" s="60" t="s">
        <v>265</v>
      </c>
      <c r="F181" s="51" t="n">
        <v>8</v>
      </c>
      <c r="G181" s="57" t="s">
        <v>108</v>
      </c>
      <c r="H181" s="58" t="s">
        <v>49</v>
      </c>
      <c r="I181" s="48"/>
    </row>
    <row r="182" customFormat="false" ht="14.25" hidden="false" customHeight="false" outlineLevel="0" collapsed="false">
      <c r="A182" s="59"/>
      <c r="B182" s="55" t="n">
        <v>4</v>
      </c>
      <c r="C182" s="39" t="s">
        <v>131</v>
      </c>
      <c r="D182" s="56" t="s">
        <v>266</v>
      </c>
      <c r="E182" s="60" t="s">
        <v>267</v>
      </c>
      <c r="F182" s="51" t="n">
        <v>8</v>
      </c>
      <c r="G182" s="57" t="s">
        <v>108</v>
      </c>
      <c r="H182" s="58" t="s">
        <v>49</v>
      </c>
      <c r="I182" s="48"/>
    </row>
    <row r="183" customFormat="false" ht="14.25" hidden="false" customHeight="false" outlineLevel="0" collapsed="false">
      <c r="A183" s="59"/>
      <c r="B183" s="55" t="n">
        <v>4</v>
      </c>
      <c r="C183" s="39" t="s">
        <v>129</v>
      </c>
      <c r="D183" s="56" t="s">
        <v>268</v>
      </c>
      <c r="E183" s="60" t="s">
        <v>269</v>
      </c>
      <c r="F183" s="51" t="n">
        <v>6</v>
      </c>
      <c r="G183" s="57" t="s">
        <v>108</v>
      </c>
      <c r="H183" s="58" t="s">
        <v>49</v>
      </c>
      <c r="I183" s="48"/>
    </row>
    <row r="184" customFormat="false" ht="14.25" hidden="false" customHeight="false" outlineLevel="0" collapsed="false">
      <c r="A184" s="59"/>
      <c r="B184" s="55" t="n">
        <v>4</v>
      </c>
      <c r="C184" s="39" t="s">
        <v>109</v>
      </c>
      <c r="D184" s="56" t="s">
        <v>268</v>
      </c>
      <c r="E184" s="60" t="s">
        <v>269</v>
      </c>
      <c r="F184" s="51" t="n">
        <v>6</v>
      </c>
      <c r="G184" s="57" t="s">
        <v>108</v>
      </c>
      <c r="H184" s="58" t="s">
        <v>49</v>
      </c>
      <c r="I184" s="48"/>
    </row>
    <row r="185" customFormat="false" ht="14.25" hidden="false" customHeight="false" outlineLevel="0" collapsed="false">
      <c r="A185" s="59"/>
      <c r="B185" s="55" t="n">
        <v>4</v>
      </c>
      <c r="C185" s="39" t="s">
        <v>261</v>
      </c>
      <c r="D185" s="56" t="s">
        <v>270</v>
      </c>
      <c r="E185" s="60" t="s">
        <v>271</v>
      </c>
      <c r="F185" s="51" t="n">
        <v>7</v>
      </c>
      <c r="G185" s="57" t="s">
        <v>108</v>
      </c>
      <c r="H185" s="58" t="s">
        <v>49</v>
      </c>
      <c r="I185" s="48"/>
    </row>
    <row r="186" customFormat="false" ht="14.25" hidden="false" customHeight="false" outlineLevel="0" collapsed="false">
      <c r="A186" s="59"/>
      <c r="B186" s="55" t="n">
        <v>4</v>
      </c>
      <c r="C186" s="39" t="s">
        <v>117</v>
      </c>
      <c r="D186" s="56" t="s">
        <v>272</v>
      </c>
      <c r="E186" s="60" t="s">
        <v>273</v>
      </c>
      <c r="F186" s="51" t="n">
        <v>9</v>
      </c>
      <c r="G186" s="57" t="s">
        <v>108</v>
      </c>
      <c r="H186" s="58" t="s">
        <v>49</v>
      </c>
      <c r="I186" s="48"/>
    </row>
    <row r="187" customFormat="false" ht="14.25" hidden="false" customHeight="false" outlineLevel="0" collapsed="false">
      <c r="A187" s="59"/>
      <c r="B187" s="55" t="n">
        <v>4</v>
      </c>
      <c r="C187" s="39" t="s">
        <v>120</v>
      </c>
      <c r="D187" s="56" t="s">
        <v>272</v>
      </c>
      <c r="E187" s="60" t="s">
        <v>273</v>
      </c>
      <c r="F187" s="51" t="n">
        <v>9</v>
      </c>
      <c r="G187" s="57" t="s">
        <v>108</v>
      </c>
      <c r="H187" s="58" t="s">
        <v>49</v>
      </c>
      <c r="I187" s="48"/>
    </row>
    <row r="188" customFormat="false" ht="14.25" hidden="false" customHeight="false" outlineLevel="0" collapsed="false">
      <c r="A188" s="59"/>
      <c r="B188" s="55" t="n">
        <v>4</v>
      </c>
      <c r="C188" s="39" t="s">
        <v>248</v>
      </c>
      <c r="D188" s="56" t="s">
        <v>272</v>
      </c>
      <c r="E188" s="60" t="s">
        <v>273</v>
      </c>
      <c r="F188" s="51" t="n">
        <v>6</v>
      </c>
      <c r="G188" s="57" t="s">
        <v>108</v>
      </c>
      <c r="H188" s="58" t="s">
        <v>49</v>
      </c>
      <c r="I188" s="48"/>
    </row>
    <row r="189" customFormat="false" ht="14.25" hidden="false" customHeight="false" outlineLevel="0" collapsed="false">
      <c r="A189" s="59"/>
      <c r="B189" s="55" t="n">
        <v>4</v>
      </c>
      <c r="C189" s="39" t="s">
        <v>274</v>
      </c>
      <c r="D189" s="56" t="s">
        <v>272</v>
      </c>
      <c r="E189" s="60" t="s">
        <v>273</v>
      </c>
      <c r="F189" s="51" t="n">
        <v>6</v>
      </c>
      <c r="G189" s="57" t="s">
        <v>108</v>
      </c>
      <c r="H189" s="58" t="s">
        <v>49</v>
      </c>
      <c r="I189" s="48"/>
    </row>
    <row r="190" customFormat="false" ht="14.25" hidden="false" customHeight="false" outlineLevel="0" collapsed="false">
      <c r="A190" s="59"/>
      <c r="B190" s="55" t="n">
        <v>4</v>
      </c>
      <c r="C190" s="39" t="s">
        <v>147</v>
      </c>
      <c r="D190" s="56" t="s">
        <v>275</v>
      </c>
      <c r="E190" s="60" t="s">
        <v>276</v>
      </c>
      <c r="F190" s="51" t="n">
        <v>7</v>
      </c>
      <c r="G190" s="57" t="s">
        <v>108</v>
      </c>
      <c r="H190" s="58" t="s">
        <v>49</v>
      </c>
      <c r="I190" s="48"/>
    </row>
    <row r="191" customFormat="false" ht="14.25" hidden="false" customHeight="false" outlineLevel="0" collapsed="false">
      <c r="A191" s="59"/>
      <c r="B191" s="55" t="n">
        <v>4</v>
      </c>
      <c r="C191" s="39" t="s">
        <v>155</v>
      </c>
      <c r="D191" s="56" t="s">
        <v>275</v>
      </c>
      <c r="E191" s="60" t="s">
        <v>276</v>
      </c>
      <c r="F191" s="51" t="n">
        <v>7</v>
      </c>
      <c r="G191" s="57" t="s">
        <v>108</v>
      </c>
      <c r="H191" s="58" t="s">
        <v>49</v>
      </c>
      <c r="I191" s="48"/>
    </row>
    <row r="192" customFormat="false" ht="14.25" hidden="false" customHeight="false" outlineLevel="0" collapsed="false">
      <c r="A192" s="59"/>
      <c r="B192" s="55" t="n">
        <v>4</v>
      </c>
      <c r="C192" s="39" t="s">
        <v>277</v>
      </c>
      <c r="D192" s="56" t="s">
        <v>278</v>
      </c>
      <c r="E192" s="60" t="s">
        <v>279</v>
      </c>
      <c r="F192" s="51" t="n">
        <v>9</v>
      </c>
      <c r="G192" s="57" t="s">
        <v>108</v>
      </c>
      <c r="H192" s="58" t="s">
        <v>49</v>
      </c>
      <c r="I192" s="48"/>
    </row>
    <row r="193" customFormat="false" ht="14.25" hidden="false" customHeight="false" outlineLevel="0" collapsed="false">
      <c r="A193" s="59"/>
      <c r="B193" s="55" t="n">
        <v>4</v>
      </c>
      <c r="C193" s="39" t="s">
        <v>280</v>
      </c>
      <c r="D193" s="56" t="s">
        <v>278</v>
      </c>
      <c r="E193" s="60" t="s">
        <v>279</v>
      </c>
      <c r="F193" s="51" t="n">
        <v>9</v>
      </c>
      <c r="G193" s="57" t="s">
        <v>108</v>
      </c>
      <c r="H193" s="58" t="s">
        <v>49</v>
      </c>
      <c r="I193" s="48"/>
    </row>
    <row r="194" customFormat="false" ht="14.25" hidden="false" customHeight="false" outlineLevel="0" collapsed="false">
      <c r="A194" s="59"/>
      <c r="B194" s="55" t="n">
        <v>4</v>
      </c>
      <c r="C194" s="39" t="s">
        <v>196</v>
      </c>
      <c r="D194" s="56" t="s">
        <v>278</v>
      </c>
      <c r="E194" s="60" t="s">
        <v>279</v>
      </c>
      <c r="F194" s="51" t="n">
        <v>8</v>
      </c>
      <c r="G194" s="57" t="s">
        <v>108</v>
      </c>
      <c r="H194" s="58" t="s">
        <v>49</v>
      </c>
      <c r="I194" s="48"/>
    </row>
    <row r="195" customFormat="false" ht="14.25" hidden="false" customHeight="false" outlineLevel="0" collapsed="false">
      <c r="A195" s="59"/>
      <c r="B195" s="55" t="n">
        <v>4</v>
      </c>
      <c r="C195" s="39" t="s">
        <v>180</v>
      </c>
      <c r="D195" s="56" t="s">
        <v>278</v>
      </c>
      <c r="E195" s="60" t="s">
        <v>279</v>
      </c>
      <c r="F195" s="51" t="n">
        <v>10</v>
      </c>
      <c r="G195" s="57" t="s">
        <v>108</v>
      </c>
      <c r="H195" s="58" t="s">
        <v>49</v>
      </c>
      <c r="I195" s="48"/>
    </row>
    <row r="196" customFormat="false" ht="14.25" hidden="false" customHeight="false" outlineLevel="0" collapsed="false">
      <c r="A196" s="59"/>
      <c r="B196" s="55" t="n">
        <v>4</v>
      </c>
      <c r="C196" s="39" t="s">
        <v>155</v>
      </c>
      <c r="D196" s="56" t="s">
        <v>278</v>
      </c>
      <c r="E196" s="60" t="s">
        <v>279</v>
      </c>
      <c r="F196" s="51" t="n">
        <v>10</v>
      </c>
      <c r="G196" s="57" t="s">
        <v>108</v>
      </c>
      <c r="H196" s="58" t="s">
        <v>49</v>
      </c>
      <c r="I196" s="48"/>
    </row>
    <row r="197" customFormat="false" ht="14.25" hidden="false" customHeight="false" outlineLevel="0" collapsed="false">
      <c r="A197" s="59"/>
      <c r="B197" s="55" t="n">
        <v>4</v>
      </c>
      <c r="C197" s="39" t="s">
        <v>248</v>
      </c>
      <c r="D197" s="56" t="s">
        <v>281</v>
      </c>
      <c r="E197" s="60" t="s">
        <v>279</v>
      </c>
      <c r="F197" s="51" t="n">
        <v>10</v>
      </c>
      <c r="G197" s="57" t="s">
        <v>108</v>
      </c>
      <c r="H197" s="58" t="s">
        <v>49</v>
      </c>
      <c r="I197" s="48"/>
    </row>
    <row r="198" customFormat="false" ht="14.25" hidden="false" customHeight="false" outlineLevel="0" collapsed="false">
      <c r="A198" s="59"/>
      <c r="B198" s="55" t="n">
        <v>4</v>
      </c>
      <c r="C198" s="39" t="s">
        <v>262</v>
      </c>
      <c r="D198" s="56" t="s">
        <v>282</v>
      </c>
      <c r="E198" s="60" t="s">
        <v>279</v>
      </c>
      <c r="F198" s="51" t="n">
        <v>10</v>
      </c>
      <c r="G198" s="57" t="s">
        <v>108</v>
      </c>
      <c r="H198" s="58" t="s">
        <v>49</v>
      </c>
      <c r="I198" s="48"/>
    </row>
    <row r="199" customFormat="false" ht="14.25" hidden="false" customHeight="false" outlineLevel="0" collapsed="false">
      <c r="A199" s="59"/>
      <c r="B199" s="55" t="n">
        <v>7</v>
      </c>
      <c r="C199" s="39" t="s">
        <v>124</v>
      </c>
      <c r="D199" s="56" t="s">
        <v>283</v>
      </c>
      <c r="E199" s="60" t="s">
        <v>284</v>
      </c>
      <c r="F199" s="51" t="n">
        <v>8</v>
      </c>
      <c r="G199" s="57" t="s">
        <v>108</v>
      </c>
      <c r="H199" s="58" t="s">
        <v>49</v>
      </c>
      <c r="I199" s="48"/>
    </row>
    <row r="200" customFormat="false" ht="14.25" hidden="false" customHeight="false" outlineLevel="0" collapsed="false">
      <c r="A200" s="59"/>
      <c r="B200" s="55" t="n">
        <v>7</v>
      </c>
      <c r="C200" s="39" t="s">
        <v>110</v>
      </c>
      <c r="D200" s="56" t="s">
        <v>283</v>
      </c>
      <c r="E200" s="60" t="s">
        <v>284</v>
      </c>
      <c r="F200" s="51" t="n">
        <v>8</v>
      </c>
      <c r="G200" s="57" t="s">
        <v>108</v>
      </c>
      <c r="H200" s="58" t="s">
        <v>49</v>
      </c>
      <c r="I200" s="48"/>
    </row>
    <row r="201" customFormat="false" ht="14.25" hidden="false" customHeight="false" outlineLevel="0" collapsed="false">
      <c r="A201" s="59"/>
      <c r="B201" s="55" t="n">
        <v>7</v>
      </c>
      <c r="C201" s="39" t="s">
        <v>131</v>
      </c>
      <c r="D201" s="56" t="s">
        <v>285</v>
      </c>
      <c r="E201" s="60" t="s">
        <v>286</v>
      </c>
      <c r="F201" s="51" t="n">
        <v>8</v>
      </c>
      <c r="G201" s="57" t="s">
        <v>108</v>
      </c>
      <c r="H201" s="58" t="s">
        <v>49</v>
      </c>
      <c r="I201" s="48"/>
    </row>
    <row r="202" customFormat="false" ht="14.25" hidden="false" customHeight="false" outlineLevel="0" collapsed="false">
      <c r="A202" s="59"/>
      <c r="B202" s="55" t="n">
        <v>7</v>
      </c>
      <c r="C202" s="39" t="s">
        <v>115</v>
      </c>
      <c r="D202" s="56" t="s">
        <v>287</v>
      </c>
      <c r="E202" s="60" t="s">
        <v>288</v>
      </c>
      <c r="F202" s="51" t="n">
        <v>8</v>
      </c>
      <c r="G202" s="57" t="s">
        <v>108</v>
      </c>
      <c r="H202" s="58" t="s">
        <v>49</v>
      </c>
      <c r="I202" s="48"/>
    </row>
    <row r="203" customFormat="false" ht="14.25" hidden="false" customHeight="false" outlineLevel="0" collapsed="false">
      <c r="A203" s="59"/>
      <c r="B203" s="55" t="n">
        <v>7</v>
      </c>
      <c r="C203" s="39" t="s">
        <v>191</v>
      </c>
      <c r="D203" s="56" t="s">
        <v>287</v>
      </c>
      <c r="E203" s="60" t="s">
        <v>288</v>
      </c>
      <c r="F203" s="51" t="n">
        <v>8</v>
      </c>
      <c r="G203" s="57" t="s">
        <v>108</v>
      </c>
      <c r="H203" s="58" t="s">
        <v>49</v>
      </c>
      <c r="I203" s="48"/>
    </row>
    <row r="204" customFormat="false" ht="14.25" hidden="false" customHeight="false" outlineLevel="0" collapsed="false">
      <c r="A204" s="59"/>
      <c r="B204" s="55" t="n">
        <v>7</v>
      </c>
      <c r="C204" s="39" t="s">
        <v>155</v>
      </c>
      <c r="D204" s="56" t="s">
        <v>289</v>
      </c>
      <c r="E204" s="60" t="s">
        <v>290</v>
      </c>
      <c r="F204" s="51" t="s">
        <v>128</v>
      </c>
      <c r="G204" s="57" t="s">
        <v>108</v>
      </c>
      <c r="H204" s="58" t="s">
        <v>49</v>
      </c>
      <c r="I204" s="48"/>
    </row>
    <row r="205" customFormat="false" ht="14.25" hidden="false" customHeight="false" outlineLevel="0" collapsed="false">
      <c r="A205" s="59"/>
      <c r="B205" s="55" t="n">
        <v>7</v>
      </c>
      <c r="C205" s="39" t="s">
        <v>248</v>
      </c>
      <c r="D205" s="56" t="s">
        <v>289</v>
      </c>
      <c r="E205" s="60" t="s">
        <v>290</v>
      </c>
      <c r="F205" s="51" t="s">
        <v>128</v>
      </c>
      <c r="G205" s="57" t="s">
        <v>108</v>
      </c>
      <c r="H205" s="58" t="s">
        <v>49</v>
      </c>
      <c r="I205" s="48"/>
    </row>
    <row r="206" customFormat="false" ht="14.25" hidden="false" customHeight="false" outlineLevel="0" collapsed="false">
      <c r="A206" s="59"/>
      <c r="B206" s="55" t="n">
        <v>7</v>
      </c>
      <c r="C206" s="39" t="s">
        <v>109</v>
      </c>
      <c r="D206" s="56" t="s">
        <v>291</v>
      </c>
      <c r="E206" s="60" t="s">
        <v>292</v>
      </c>
      <c r="F206" s="51" t="n">
        <v>8</v>
      </c>
      <c r="G206" s="57" t="s">
        <v>108</v>
      </c>
      <c r="H206" s="58" t="s">
        <v>49</v>
      </c>
      <c r="I206" s="48"/>
    </row>
    <row r="207" customFormat="false" ht="14.25" hidden="false" customHeight="false" outlineLevel="0" collapsed="false">
      <c r="A207" s="59"/>
      <c r="B207" s="55" t="n">
        <v>7</v>
      </c>
      <c r="C207" s="39" t="s">
        <v>110</v>
      </c>
      <c r="D207" s="56" t="s">
        <v>291</v>
      </c>
      <c r="E207" s="60" t="s">
        <v>292</v>
      </c>
      <c r="F207" s="51" t="n">
        <v>8</v>
      </c>
      <c r="G207" s="57" t="s">
        <v>108</v>
      </c>
      <c r="H207" s="58" t="s">
        <v>49</v>
      </c>
      <c r="I207" s="48"/>
    </row>
    <row r="208" customFormat="false" ht="14.25" hidden="false" customHeight="false" outlineLevel="0" collapsed="false">
      <c r="A208" s="59"/>
      <c r="B208" s="55" t="n">
        <v>7</v>
      </c>
      <c r="C208" s="39" t="s">
        <v>248</v>
      </c>
      <c r="D208" s="56" t="s">
        <v>291</v>
      </c>
      <c r="E208" s="60" t="s">
        <v>292</v>
      </c>
      <c r="F208" s="51" t="n">
        <v>8</v>
      </c>
      <c r="G208" s="57" t="s">
        <v>108</v>
      </c>
      <c r="H208" s="58" t="s">
        <v>49</v>
      </c>
      <c r="I208" s="48"/>
    </row>
    <row r="209" customFormat="false" ht="14.25" hidden="false" customHeight="false" outlineLevel="0" collapsed="false">
      <c r="A209" s="59"/>
      <c r="B209" s="55" t="n">
        <v>7</v>
      </c>
      <c r="C209" s="39" t="s">
        <v>129</v>
      </c>
      <c r="D209" s="56" t="s">
        <v>291</v>
      </c>
      <c r="E209" s="60" t="s">
        <v>292</v>
      </c>
      <c r="F209" s="51" t="n">
        <v>7</v>
      </c>
      <c r="G209" s="57" t="s">
        <v>108</v>
      </c>
      <c r="H209" s="58" t="s">
        <v>49</v>
      </c>
      <c r="I209" s="48"/>
    </row>
    <row r="210" customFormat="false" ht="14.25" hidden="false" customHeight="false" outlineLevel="0" collapsed="false">
      <c r="A210" s="59"/>
      <c r="B210" s="55" t="n">
        <v>7</v>
      </c>
      <c r="C210" s="39" t="s">
        <v>131</v>
      </c>
      <c r="D210" s="56" t="s">
        <v>293</v>
      </c>
      <c r="E210" s="60" t="s">
        <v>294</v>
      </c>
      <c r="F210" s="51" t="n">
        <v>9</v>
      </c>
      <c r="G210" s="57" t="s">
        <v>108</v>
      </c>
      <c r="H210" s="58" t="s">
        <v>49</v>
      </c>
      <c r="I210" s="48"/>
    </row>
    <row r="211" customFormat="false" ht="14.25" hidden="false" customHeight="false" outlineLevel="0" collapsed="false">
      <c r="A211" s="59"/>
      <c r="B211" s="55" t="n">
        <v>7</v>
      </c>
      <c r="C211" s="39" t="s">
        <v>138</v>
      </c>
      <c r="D211" s="56" t="s">
        <v>293</v>
      </c>
      <c r="E211" s="60" t="s">
        <v>294</v>
      </c>
      <c r="F211" s="51" t="n">
        <v>8</v>
      </c>
      <c r="G211" s="57" t="s">
        <v>108</v>
      </c>
      <c r="H211" s="58" t="s">
        <v>49</v>
      </c>
      <c r="I211" s="48"/>
    </row>
    <row r="212" customFormat="false" ht="14.25" hidden="false" customHeight="false" outlineLevel="0" collapsed="false">
      <c r="A212" s="59"/>
      <c r="B212" s="55" t="n">
        <v>7</v>
      </c>
      <c r="C212" s="39" t="s">
        <v>192</v>
      </c>
      <c r="D212" s="56" t="s">
        <v>293</v>
      </c>
      <c r="E212" s="60" t="s">
        <v>294</v>
      </c>
      <c r="F212" s="51" t="n">
        <v>8</v>
      </c>
      <c r="G212" s="57" t="s">
        <v>108</v>
      </c>
      <c r="H212" s="58" t="s">
        <v>49</v>
      </c>
      <c r="I212" s="48"/>
    </row>
    <row r="213" customFormat="false" ht="14.25" hidden="false" customHeight="false" outlineLevel="0" collapsed="false">
      <c r="A213" s="59"/>
      <c r="B213" s="55" t="n">
        <v>4</v>
      </c>
      <c r="C213" s="39" t="s">
        <v>168</v>
      </c>
      <c r="D213" s="56" t="s">
        <v>295</v>
      </c>
      <c r="E213" s="60" t="s">
        <v>296</v>
      </c>
      <c r="F213" s="51" t="n">
        <v>8</v>
      </c>
      <c r="G213" s="57" t="s">
        <v>108</v>
      </c>
      <c r="H213" s="58" t="s">
        <v>49</v>
      </c>
      <c r="I213" s="48"/>
    </row>
    <row r="214" customFormat="false" ht="14.25" hidden="false" customHeight="false" outlineLevel="0" collapsed="false">
      <c r="A214" s="59"/>
      <c r="B214" s="55" t="n">
        <v>4</v>
      </c>
      <c r="C214" s="39" t="s">
        <v>111</v>
      </c>
      <c r="D214" s="56" t="s">
        <v>295</v>
      </c>
      <c r="E214" s="60" t="s">
        <v>296</v>
      </c>
      <c r="F214" s="51" t="n">
        <v>8</v>
      </c>
      <c r="G214" s="57" t="s">
        <v>108</v>
      </c>
      <c r="H214" s="58" t="s">
        <v>49</v>
      </c>
      <c r="I214" s="48"/>
    </row>
    <row r="215" customFormat="false" ht="14.25" hidden="false" customHeight="false" outlineLevel="0" collapsed="false">
      <c r="A215" s="59"/>
      <c r="B215" s="55" t="n">
        <v>4</v>
      </c>
      <c r="C215" s="39" t="s">
        <v>110</v>
      </c>
      <c r="D215" s="56" t="s">
        <v>295</v>
      </c>
      <c r="E215" s="60" t="s">
        <v>296</v>
      </c>
      <c r="F215" s="51" t="n">
        <v>8</v>
      </c>
      <c r="G215" s="57" t="s">
        <v>108</v>
      </c>
      <c r="H215" s="58" t="s">
        <v>49</v>
      </c>
      <c r="I215" s="48"/>
    </row>
    <row r="216" customFormat="false" ht="14.25" hidden="false" customHeight="false" outlineLevel="0" collapsed="false">
      <c r="A216" s="59"/>
      <c r="B216" s="55" t="n">
        <v>4</v>
      </c>
      <c r="C216" s="39" t="s">
        <v>143</v>
      </c>
      <c r="D216" s="56" t="s">
        <v>295</v>
      </c>
      <c r="E216" s="60" t="s">
        <v>296</v>
      </c>
      <c r="F216" s="51" t="n">
        <v>8</v>
      </c>
      <c r="G216" s="57" t="s">
        <v>108</v>
      </c>
      <c r="H216" s="58" t="s">
        <v>49</v>
      </c>
      <c r="I216" s="48"/>
    </row>
    <row r="217" customFormat="false" ht="14.25" hidden="false" customHeight="false" outlineLevel="0" collapsed="false">
      <c r="A217" s="59"/>
      <c r="B217" s="55" t="n">
        <v>4</v>
      </c>
      <c r="C217" s="39" t="s">
        <v>196</v>
      </c>
      <c r="D217" s="56" t="s">
        <v>297</v>
      </c>
      <c r="E217" s="60" t="s">
        <v>298</v>
      </c>
      <c r="F217" s="51" t="n">
        <v>8</v>
      </c>
      <c r="G217" s="57" t="s">
        <v>108</v>
      </c>
      <c r="H217" s="58" t="s">
        <v>49</v>
      </c>
      <c r="I217" s="48"/>
    </row>
    <row r="218" customFormat="false" ht="14.25" hidden="false" customHeight="false" outlineLevel="0" collapsed="false">
      <c r="A218" s="59"/>
      <c r="B218" s="55" t="n">
        <v>4</v>
      </c>
      <c r="C218" s="39" t="s">
        <v>147</v>
      </c>
      <c r="D218" s="56" t="s">
        <v>299</v>
      </c>
      <c r="E218" s="60" t="s">
        <v>300</v>
      </c>
      <c r="F218" s="51" t="n">
        <v>8</v>
      </c>
      <c r="G218" s="57" t="s">
        <v>108</v>
      </c>
      <c r="H218" s="58" t="s">
        <v>49</v>
      </c>
      <c r="I218" s="48"/>
    </row>
    <row r="219" customFormat="false" ht="14.25" hidden="false" customHeight="false" outlineLevel="0" collapsed="false">
      <c r="A219" s="59"/>
      <c r="B219" s="55" t="n">
        <v>4</v>
      </c>
      <c r="C219" s="39" t="s">
        <v>148</v>
      </c>
      <c r="D219" s="56" t="s">
        <v>299</v>
      </c>
      <c r="E219" s="60" t="s">
        <v>300</v>
      </c>
      <c r="F219" s="51" t="n">
        <v>8</v>
      </c>
      <c r="G219" s="57" t="s">
        <v>108</v>
      </c>
      <c r="H219" s="58" t="s">
        <v>49</v>
      </c>
      <c r="I219" s="48"/>
    </row>
    <row r="220" customFormat="false" ht="14.25" hidden="false" customHeight="false" outlineLevel="0" collapsed="false">
      <c r="A220" s="59"/>
      <c r="B220" s="55" t="n">
        <v>4</v>
      </c>
      <c r="C220" s="39" t="s">
        <v>191</v>
      </c>
      <c r="D220" s="56" t="s">
        <v>299</v>
      </c>
      <c r="E220" s="60" t="s">
        <v>300</v>
      </c>
      <c r="F220" s="51" t="n">
        <v>8</v>
      </c>
      <c r="G220" s="57" t="s">
        <v>108</v>
      </c>
      <c r="H220" s="58" t="s">
        <v>49</v>
      </c>
      <c r="I220" s="48"/>
    </row>
    <row r="221" customFormat="false" ht="14.25" hidden="false" customHeight="false" outlineLevel="0" collapsed="false">
      <c r="A221" s="59"/>
      <c r="B221" s="55" t="n">
        <v>4</v>
      </c>
      <c r="C221" s="39" t="s">
        <v>110</v>
      </c>
      <c r="D221" s="56" t="s">
        <v>299</v>
      </c>
      <c r="E221" s="60" t="s">
        <v>300</v>
      </c>
      <c r="F221" s="51" t="n">
        <v>8</v>
      </c>
      <c r="G221" s="57" t="s">
        <v>108</v>
      </c>
      <c r="H221" s="58" t="s">
        <v>49</v>
      </c>
      <c r="I221" s="48"/>
    </row>
    <row r="222" customFormat="false" ht="14.25" hidden="false" customHeight="false" outlineLevel="0" collapsed="false">
      <c r="A222" s="59"/>
      <c r="B222" s="55" t="n">
        <v>4</v>
      </c>
      <c r="C222" s="39" t="s">
        <v>248</v>
      </c>
      <c r="D222" s="56" t="s">
        <v>301</v>
      </c>
      <c r="E222" s="60" t="s">
        <v>302</v>
      </c>
      <c r="F222" s="51" t="s">
        <v>251</v>
      </c>
      <c r="G222" s="57" t="s">
        <v>108</v>
      </c>
      <c r="H222" s="58" t="s">
        <v>49</v>
      </c>
      <c r="I222" s="48"/>
    </row>
    <row r="223" customFormat="false" ht="14.25" hidden="false" customHeight="false" outlineLevel="0" collapsed="false">
      <c r="A223" s="59"/>
      <c r="B223" s="55" t="n">
        <v>4</v>
      </c>
      <c r="C223" s="39" t="s">
        <v>274</v>
      </c>
      <c r="D223" s="56" t="s">
        <v>301</v>
      </c>
      <c r="E223" s="60" t="s">
        <v>302</v>
      </c>
      <c r="F223" s="51" t="s">
        <v>251</v>
      </c>
      <c r="G223" s="57" t="s">
        <v>108</v>
      </c>
      <c r="H223" s="58" t="s">
        <v>49</v>
      </c>
      <c r="I223" s="48"/>
    </row>
    <row r="224" customFormat="false" ht="14.25" hidden="false" customHeight="false" outlineLevel="0" collapsed="false">
      <c r="A224" s="59"/>
      <c r="B224" s="55" t="n">
        <v>4</v>
      </c>
      <c r="C224" s="39" t="s">
        <v>192</v>
      </c>
      <c r="D224" s="56" t="s">
        <v>303</v>
      </c>
      <c r="E224" s="60" t="s">
        <v>304</v>
      </c>
      <c r="F224" s="51" t="n">
        <v>6</v>
      </c>
      <c r="G224" s="57" t="s">
        <v>108</v>
      </c>
      <c r="H224" s="58" t="s">
        <v>49</v>
      </c>
      <c r="I224" s="48"/>
    </row>
    <row r="225" customFormat="false" ht="14.25" hidden="false" customHeight="false" outlineLevel="0" collapsed="false">
      <c r="A225" s="59"/>
      <c r="B225" s="55" t="n">
        <v>4</v>
      </c>
      <c r="C225" s="39" t="s">
        <v>138</v>
      </c>
      <c r="D225" s="56" t="s">
        <v>303</v>
      </c>
      <c r="E225" s="60" t="s">
        <v>304</v>
      </c>
      <c r="F225" s="51" t="n">
        <v>6</v>
      </c>
      <c r="G225" s="57" t="s">
        <v>108</v>
      </c>
      <c r="H225" s="58" t="s">
        <v>49</v>
      </c>
      <c r="I225" s="48"/>
    </row>
    <row r="226" customFormat="false" ht="14.25" hidden="false" customHeight="false" outlineLevel="0" collapsed="false">
      <c r="A226" s="59"/>
      <c r="B226" s="55" t="n">
        <v>4</v>
      </c>
      <c r="C226" s="39" t="s">
        <v>168</v>
      </c>
      <c r="D226" s="56" t="s">
        <v>303</v>
      </c>
      <c r="E226" s="60" t="s">
        <v>304</v>
      </c>
      <c r="F226" s="51" t="n">
        <v>6</v>
      </c>
      <c r="G226" s="57" t="s">
        <v>108</v>
      </c>
      <c r="H226" s="58" t="s">
        <v>49</v>
      </c>
      <c r="I226" s="48"/>
    </row>
    <row r="227" customFormat="false" ht="14.25" hidden="false" customHeight="false" outlineLevel="0" collapsed="false">
      <c r="A227" s="59"/>
      <c r="B227" s="55" t="n">
        <v>4</v>
      </c>
      <c r="C227" s="39" t="s">
        <v>120</v>
      </c>
      <c r="D227" s="56" t="s">
        <v>305</v>
      </c>
      <c r="E227" s="60" t="s">
        <v>306</v>
      </c>
      <c r="F227" s="51" t="n">
        <v>9</v>
      </c>
      <c r="G227" s="57" t="s">
        <v>108</v>
      </c>
      <c r="H227" s="58" t="s">
        <v>49</v>
      </c>
      <c r="I227" s="48"/>
    </row>
    <row r="228" customFormat="false" ht="14.25" hidden="false" customHeight="false" outlineLevel="0" collapsed="false">
      <c r="A228" s="59"/>
      <c r="B228" s="55" t="n">
        <v>4</v>
      </c>
      <c r="C228" s="39" t="s">
        <v>117</v>
      </c>
      <c r="D228" s="56" t="s">
        <v>305</v>
      </c>
      <c r="E228" s="60" t="s">
        <v>306</v>
      </c>
      <c r="F228" s="51" t="n">
        <v>9</v>
      </c>
      <c r="G228" s="57" t="s">
        <v>108</v>
      </c>
      <c r="H228" s="58" t="s">
        <v>49</v>
      </c>
      <c r="I228" s="48"/>
    </row>
    <row r="229" customFormat="false" ht="14.25" hidden="false" customHeight="false" outlineLevel="0" collapsed="false">
      <c r="A229" s="61"/>
      <c r="B229" s="55" t="n">
        <v>4</v>
      </c>
      <c r="C229" s="39" t="s">
        <v>124</v>
      </c>
      <c r="D229" s="56" t="s">
        <v>307</v>
      </c>
      <c r="E229" s="60" t="s">
        <v>308</v>
      </c>
      <c r="F229" s="51" t="n">
        <v>5</v>
      </c>
      <c r="G229" s="57" t="s">
        <v>108</v>
      </c>
      <c r="H229" s="58" t="s">
        <v>49</v>
      </c>
      <c r="I229" s="48"/>
    </row>
    <row r="230" customFormat="false" ht="14.25" hidden="false" customHeight="false" outlineLevel="0" collapsed="false">
      <c r="B230" s="55" t="n">
        <v>4</v>
      </c>
      <c r="C230" s="39" t="s">
        <v>261</v>
      </c>
      <c r="D230" s="56" t="s">
        <v>182</v>
      </c>
      <c r="E230" s="60" t="s">
        <v>309</v>
      </c>
      <c r="F230" s="51" t="n">
        <v>7</v>
      </c>
      <c r="G230" s="57" t="s">
        <v>108</v>
      </c>
      <c r="H230" s="58" t="s">
        <v>49</v>
      </c>
      <c r="I230" s="48"/>
    </row>
    <row r="231" customFormat="false" ht="14.25" hidden="false" customHeight="false" outlineLevel="0" collapsed="false">
      <c r="B231" s="55" t="n">
        <v>4</v>
      </c>
      <c r="C231" s="39" t="s">
        <v>261</v>
      </c>
      <c r="D231" s="56" t="s">
        <v>310</v>
      </c>
      <c r="E231" s="60" t="s">
        <v>309</v>
      </c>
      <c r="F231" s="51" t="n">
        <v>8</v>
      </c>
      <c r="G231" s="57" t="s">
        <v>108</v>
      </c>
      <c r="H231" s="58" t="s">
        <v>49</v>
      </c>
      <c r="I231" s="48"/>
    </row>
    <row r="232" customFormat="false" ht="14.25" hidden="false" customHeight="false" outlineLevel="0" collapsed="false">
      <c r="B232" s="55" t="n">
        <v>4</v>
      </c>
      <c r="C232" s="39" t="s">
        <v>214</v>
      </c>
      <c r="D232" s="56" t="s">
        <v>311</v>
      </c>
      <c r="E232" s="60" t="s">
        <v>312</v>
      </c>
      <c r="F232" s="51" t="n">
        <v>5</v>
      </c>
      <c r="G232" s="57" t="s">
        <v>108</v>
      </c>
      <c r="H232" s="58" t="s">
        <v>49</v>
      </c>
      <c r="I232" s="48"/>
    </row>
    <row r="233" customFormat="false" ht="14.25" hidden="false" customHeight="false" outlineLevel="0" collapsed="false">
      <c r="B233" s="55" t="n">
        <v>4</v>
      </c>
      <c r="C233" s="39" t="s">
        <v>148</v>
      </c>
      <c r="D233" s="56" t="s">
        <v>311</v>
      </c>
      <c r="E233" s="60" t="s">
        <v>312</v>
      </c>
      <c r="F233" s="51" t="n">
        <v>5</v>
      </c>
      <c r="G233" s="57" t="s">
        <v>108</v>
      </c>
      <c r="H233" s="58" t="s">
        <v>49</v>
      </c>
      <c r="I233" s="48"/>
    </row>
    <row r="234" customFormat="false" ht="14.25" hidden="false" customHeight="false" outlineLevel="0" collapsed="false">
      <c r="B234" s="55" t="n">
        <v>3</v>
      </c>
      <c r="C234" s="39" t="s">
        <v>209</v>
      </c>
      <c r="D234" s="56" t="s">
        <v>313</v>
      </c>
      <c r="E234" s="60" t="s">
        <v>314</v>
      </c>
      <c r="F234" s="51" t="n">
        <v>9</v>
      </c>
      <c r="G234" s="57" t="s">
        <v>108</v>
      </c>
      <c r="H234" s="58" t="s">
        <v>49</v>
      </c>
      <c r="I234" s="48"/>
    </row>
    <row r="235" customFormat="false" ht="14.25" hidden="false" customHeight="false" outlineLevel="0" collapsed="false">
      <c r="B235" s="55" t="n">
        <v>3</v>
      </c>
      <c r="C235" s="39" t="s">
        <v>124</v>
      </c>
      <c r="D235" s="56" t="s">
        <v>313</v>
      </c>
      <c r="E235" s="60" t="s">
        <v>314</v>
      </c>
      <c r="F235" s="51" t="n">
        <v>9</v>
      </c>
      <c r="G235" s="57" t="s">
        <v>108</v>
      </c>
      <c r="H235" s="58" t="s">
        <v>49</v>
      </c>
      <c r="I235" s="48"/>
    </row>
    <row r="236" customFormat="false" ht="14.25" hidden="false" customHeight="false" outlineLevel="0" collapsed="false">
      <c r="B236" s="55" t="n">
        <v>3</v>
      </c>
      <c r="C236" s="39" t="s">
        <v>110</v>
      </c>
      <c r="D236" s="56" t="s">
        <v>313</v>
      </c>
      <c r="E236" s="60" t="s">
        <v>314</v>
      </c>
      <c r="F236" s="51" t="n">
        <v>9</v>
      </c>
      <c r="G236" s="57" t="s">
        <v>108</v>
      </c>
      <c r="H236" s="58" t="s">
        <v>49</v>
      </c>
      <c r="I236" s="48"/>
    </row>
    <row r="237" customFormat="false" ht="14.25" hidden="false" customHeight="false" outlineLevel="0" collapsed="false">
      <c r="B237" s="55" t="n">
        <v>6</v>
      </c>
      <c r="C237" s="39" t="s">
        <v>164</v>
      </c>
      <c r="D237" s="56" t="s">
        <v>315</v>
      </c>
      <c r="E237" s="60" t="s">
        <v>245</v>
      </c>
      <c r="F237" s="51" t="n">
        <v>9</v>
      </c>
      <c r="G237" s="57" t="s">
        <v>108</v>
      </c>
      <c r="H237" s="58" t="s">
        <v>49</v>
      </c>
      <c r="I237" s="48"/>
    </row>
    <row r="238" customFormat="false" ht="14.25" hidden="false" customHeight="false" outlineLevel="0" collapsed="false">
      <c r="B238" s="55" t="n">
        <v>7</v>
      </c>
      <c r="C238" s="39" t="s">
        <v>114</v>
      </c>
      <c r="D238" s="56" t="s">
        <v>287</v>
      </c>
      <c r="E238" s="60" t="s">
        <v>288</v>
      </c>
      <c r="F238" s="51" t="n">
        <v>8</v>
      </c>
      <c r="G238" s="57" t="s">
        <v>108</v>
      </c>
      <c r="H238" s="58" t="s">
        <v>49</v>
      </c>
      <c r="I238" s="48"/>
    </row>
    <row r="239" customFormat="false" ht="14.25" hidden="false" customHeight="false" outlineLevel="0" collapsed="false">
      <c r="B239" s="55" t="n">
        <v>5</v>
      </c>
      <c r="C239" s="39" t="s">
        <v>148</v>
      </c>
      <c r="D239" s="56" t="s">
        <v>242</v>
      </c>
      <c r="E239" s="60" t="s">
        <v>243</v>
      </c>
      <c r="F239" s="51" t="n">
        <v>9</v>
      </c>
      <c r="G239" s="57" t="s">
        <v>108</v>
      </c>
      <c r="H239" s="58" t="s">
        <v>49</v>
      </c>
      <c r="I239" s="48"/>
    </row>
    <row r="240" customFormat="false" ht="14.25" hidden="false" customHeight="false" outlineLevel="0" collapsed="false">
      <c r="B240" s="55"/>
      <c r="C240" s="39"/>
      <c r="D240" s="56"/>
      <c r="E240" s="60"/>
      <c r="F240" s="51"/>
      <c r="G240" s="57" t="s">
        <v>108</v>
      </c>
      <c r="H240" s="58" t="s">
        <v>49</v>
      </c>
      <c r="I240" s="48"/>
    </row>
    <row r="241" customFormat="false" ht="14.25" hidden="false" customHeight="false" outlineLevel="0" collapsed="false">
      <c r="B241" s="55"/>
      <c r="C241" s="39"/>
      <c r="D241" s="56"/>
      <c r="E241" s="60"/>
      <c r="F241" s="51"/>
      <c r="G241" s="57" t="s">
        <v>108</v>
      </c>
      <c r="H241" s="58" t="s">
        <v>49</v>
      </c>
      <c r="I241" s="48"/>
    </row>
    <row r="242" customFormat="false" ht="14.25" hidden="false" customHeight="false" outlineLevel="0" collapsed="false">
      <c r="B242" s="55"/>
      <c r="C242" s="39"/>
      <c r="D242" s="56"/>
      <c r="E242" s="60"/>
      <c r="F242" s="51"/>
      <c r="G242" s="57" t="s">
        <v>108</v>
      </c>
      <c r="H242" s="58" t="s">
        <v>49</v>
      </c>
      <c r="I242" s="48"/>
    </row>
    <row r="243" customFormat="false" ht="14.25" hidden="false" customHeight="false" outlineLevel="0" collapsed="false">
      <c r="B243" s="55"/>
      <c r="C243" s="39"/>
      <c r="D243" s="56"/>
      <c r="E243" s="60"/>
      <c r="F243" s="51"/>
      <c r="G243" s="57"/>
      <c r="H243" s="58"/>
      <c r="I243" s="48"/>
    </row>
    <row r="244" customFormat="false" ht="14.25" hidden="false" customHeight="false" outlineLevel="0" collapsed="false">
      <c r="B244" s="55"/>
      <c r="C244" s="39"/>
      <c r="D244" s="56"/>
      <c r="E244" s="60"/>
      <c r="F244" s="51"/>
      <c r="G244" s="57"/>
      <c r="H244" s="58"/>
      <c r="I244" s="48"/>
    </row>
    <row r="245" customFormat="false" ht="14.25" hidden="false" customHeight="false" outlineLevel="0" collapsed="false">
      <c r="B245" s="55"/>
      <c r="C245" s="39"/>
      <c r="D245" s="56"/>
      <c r="E245" s="60"/>
      <c r="F245" s="51"/>
      <c r="G245" s="57"/>
      <c r="H245" s="58"/>
      <c r="I245" s="48"/>
    </row>
    <row r="246" customFormat="false" ht="14.25" hidden="false" customHeight="false" outlineLevel="0" collapsed="false">
      <c r="B246" s="55"/>
      <c r="C246" s="39"/>
      <c r="D246" s="56"/>
      <c r="E246" s="60"/>
      <c r="F246" s="51"/>
      <c r="G246" s="57"/>
      <c r="H246" s="58"/>
      <c r="I246" s="48"/>
    </row>
    <row r="247" customFormat="false" ht="14.25" hidden="false" customHeight="false" outlineLevel="0" collapsed="false">
      <c r="B247" s="55"/>
      <c r="C247" s="39"/>
      <c r="D247" s="56"/>
      <c r="E247" s="60"/>
      <c r="F247" s="51"/>
      <c r="G247" s="57"/>
      <c r="H247" s="58"/>
      <c r="I247" s="48"/>
    </row>
    <row r="248" customFormat="false" ht="14.25" hidden="false" customHeight="false" outlineLevel="0" collapsed="false">
      <c r="B248" s="55"/>
      <c r="C248" s="39"/>
      <c r="D248" s="56"/>
      <c r="E248" s="60"/>
      <c r="F248" s="51"/>
      <c r="G248" s="57"/>
      <c r="H248" s="58"/>
      <c r="I248" s="48"/>
    </row>
    <row r="249" customFormat="false" ht="14.25" hidden="false" customHeight="false" outlineLevel="0" collapsed="false">
      <c r="B249" s="55"/>
      <c r="C249" s="39"/>
      <c r="D249" s="56"/>
      <c r="E249" s="60"/>
      <c r="F249" s="51"/>
      <c r="G249" s="57"/>
      <c r="H249" s="58"/>
      <c r="I249" s="48"/>
    </row>
    <row r="250" customFormat="false" ht="14.25" hidden="false" customHeight="false" outlineLevel="0" collapsed="false">
      <c r="B250" s="55"/>
      <c r="C250" s="39"/>
      <c r="D250" s="56"/>
      <c r="E250" s="60"/>
      <c r="F250" s="51"/>
      <c r="G250" s="57"/>
      <c r="H250" s="58"/>
      <c r="I250" s="48"/>
    </row>
    <row r="251" customFormat="false" ht="14.25" hidden="false" customHeight="false" outlineLevel="0" collapsed="false">
      <c r="B251" s="55"/>
      <c r="C251" s="39"/>
      <c r="D251" s="56"/>
      <c r="E251" s="60"/>
      <c r="F251" s="51"/>
      <c r="G251" s="57"/>
      <c r="H251" s="58"/>
      <c r="I251" s="48"/>
    </row>
    <row r="252" customFormat="false" ht="14.25" hidden="false" customHeight="false" outlineLevel="0" collapsed="false">
      <c r="B252" s="55"/>
      <c r="C252" s="39"/>
      <c r="D252" s="56"/>
      <c r="E252" s="60"/>
      <c r="F252" s="51"/>
      <c r="G252" s="57"/>
      <c r="H252" s="58"/>
      <c r="I252" s="48"/>
    </row>
    <row r="253" customFormat="false" ht="14.25" hidden="false" customHeight="false" outlineLevel="0" collapsed="false">
      <c r="B253" s="55"/>
      <c r="C253" s="39"/>
      <c r="D253" s="56"/>
      <c r="E253" s="60"/>
      <c r="F253" s="51"/>
      <c r="G253" s="57"/>
      <c r="H253" s="58"/>
      <c r="I253" s="48"/>
    </row>
    <row r="254" customFormat="false" ht="14.25" hidden="false" customHeight="false" outlineLevel="0" collapsed="false">
      <c r="B254" s="55"/>
      <c r="C254" s="39"/>
      <c r="D254" s="56"/>
      <c r="E254" s="60"/>
      <c r="F254" s="51"/>
      <c r="G254" s="57"/>
      <c r="H254" s="58"/>
      <c r="I254" s="48"/>
    </row>
    <row r="255" customFormat="false" ht="14.25" hidden="false" customHeight="false" outlineLevel="0" collapsed="false">
      <c r="B255" s="55"/>
      <c r="C255" s="39"/>
      <c r="D255" s="56"/>
      <c r="E255" s="60"/>
      <c r="F255" s="51"/>
      <c r="G255" s="57"/>
      <c r="H255" s="58"/>
      <c r="I255" s="48"/>
    </row>
    <row r="256" customFormat="false" ht="14.25" hidden="false" customHeight="false" outlineLevel="0" collapsed="false">
      <c r="B256" s="55"/>
      <c r="C256" s="39"/>
      <c r="D256" s="56"/>
      <c r="E256" s="60"/>
      <c r="F256" s="51"/>
      <c r="G256" s="57"/>
      <c r="H256" s="58"/>
      <c r="I256" s="48"/>
    </row>
    <row r="257" customFormat="false" ht="14.25" hidden="false" customHeight="false" outlineLevel="0" collapsed="false">
      <c r="B257" s="55"/>
      <c r="C257" s="39"/>
      <c r="D257" s="56"/>
      <c r="E257" s="60"/>
      <c r="F257" s="51"/>
      <c r="G257" s="57"/>
      <c r="H257" s="58"/>
      <c r="I257" s="48"/>
    </row>
    <row r="258" customFormat="false" ht="14.25" hidden="false" customHeight="false" outlineLevel="0" collapsed="false">
      <c r="B258" s="55"/>
      <c r="C258" s="39"/>
      <c r="D258" s="56"/>
      <c r="E258" s="60"/>
      <c r="F258" s="51"/>
      <c r="G258" s="57"/>
      <c r="H258" s="58"/>
      <c r="I258" s="48"/>
    </row>
    <row r="259" customFormat="false" ht="14.25" hidden="false" customHeight="false" outlineLevel="0" collapsed="false">
      <c r="B259" s="55"/>
      <c r="C259" s="39"/>
      <c r="D259" s="56"/>
      <c r="E259" s="60"/>
      <c r="F259" s="51"/>
      <c r="G259" s="57"/>
      <c r="H259" s="58"/>
      <c r="I259" s="48"/>
    </row>
    <row r="260" customFormat="false" ht="14.25" hidden="false" customHeight="false" outlineLevel="0" collapsed="false">
      <c r="B260" s="55"/>
      <c r="C260" s="39"/>
      <c r="D260" s="56"/>
      <c r="E260" s="60"/>
      <c r="F260" s="51"/>
      <c r="G260" s="57"/>
      <c r="H260" s="58"/>
      <c r="I260" s="48"/>
    </row>
    <row r="261" customFormat="false" ht="14.25" hidden="false" customHeight="false" outlineLevel="0" collapsed="false">
      <c r="B261" s="55"/>
      <c r="C261" s="39"/>
      <c r="D261" s="56"/>
      <c r="E261" s="60"/>
      <c r="F261" s="51"/>
      <c r="G261" s="57"/>
      <c r="H261" s="58"/>
      <c r="I261" s="48"/>
    </row>
    <row r="262" customFormat="false" ht="14.25" hidden="false" customHeight="false" outlineLevel="0" collapsed="false">
      <c r="B262" s="55"/>
      <c r="C262" s="39"/>
      <c r="D262" s="56"/>
      <c r="E262" s="60"/>
      <c r="F262" s="51"/>
      <c r="G262" s="57"/>
      <c r="H262" s="58"/>
      <c r="I262" s="48"/>
    </row>
    <row r="263" customFormat="false" ht="14.25" hidden="false" customHeight="false" outlineLevel="0" collapsed="false">
      <c r="B263" s="55"/>
      <c r="C263" s="39"/>
      <c r="D263" s="56"/>
      <c r="E263" s="60"/>
      <c r="F263" s="51"/>
      <c r="G263" s="57"/>
      <c r="H263" s="58"/>
      <c r="I263" s="48"/>
    </row>
    <row r="264" customFormat="false" ht="14.25" hidden="false" customHeight="false" outlineLevel="0" collapsed="false">
      <c r="B264" s="55"/>
      <c r="C264" s="39"/>
      <c r="D264" s="56"/>
      <c r="E264" s="60"/>
      <c r="F264" s="51"/>
      <c r="G264" s="57"/>
      <c r="H264" s="58"/>
      <c r="I264" s="48"/>
    </row>
    <row r="265" customFormat="false" ht="14.25" hidden="false" customHeight="false" outlineLevel="0" collapsed="false">
      <c r="B265" s="55"/>
      <c r="C265" s="39"/>
      <c r="D265" s="56"/>
      <c r="E265" s="60"/>
      <c r="F265" s="51"/>
      <c r="G265" s="57"/>
      <c r="H265" s="58"/>
      <c r="I265" s="48"/>
    </row>
    <row r="266" customFormat="false" ht="14.25" hidden="false" customHeight="false" outlineLevel="0" collapsed="false">
      <c r="B266" s="55"/>
      <c r="C266" s="39"/>
      <c r="D266" s="56"/>
      <c r="E266" s="60"/>
      <c r="F266" s="51"/>
      <c r="G266" s="57"/>
      <c r="H266" s="58"/>
      <c r="I266" s="48"/>
    </row>
    <row r="267" customFormat="false" ht="14.25" hidden="false" customHeight="false" outlineLevel="0" collapsed="false">
      <c r="B267" s="55"/>
      <c r="C267" s="39"/>
      <c r="D267" s="56"/>
      <c r="E267" s="60"/>
      <c r="F267" s="51"/>
      <c r="G267" s="57"/>
      <c r="H267" s="58"/>
      <c r="I267" s="48"/>
    </row>
    <row r="268" customFormat="false" ht="14.25" hidden="false" customHeight="false" outlineLevel="0" collapsed="false">
      <c r="B268" s="55"/>
      <c r="C268" s="39"/>
      <c r="D268" s="56"/>
      <c r="E268" s="60"/>
      <c r="F268" s="51"/>
      <c r="G268" s="57"/>
      <c r="H268" s="58"/>
      <c r="I268" s="48"/>
    </row>
    <row r="269" customFormat="false" ht="14.25" hidden="false" customHeight="false" outlineLevel="0" collapsed="false">
      <c r="B269" s="55"/>
      <c r="C269" s="39"/>
      <c r="D269" s="56"/>
      <c r="E269" s="60"/>
      <c r="F269" s="51"/>
      <c r="G269" s="57"/>
      <c r="H269" s="58"/>
      <c r="I269" s="48"/>
    </row>
    <row r="270" customFormat="false" ht="14.25" hidden="false" customHeight="false" outlineLevel="0" collapsed="false">
      <c r="B270" s="55"/>
      <c r="C270" s="39"/>
      <c r="D270" s="56"/>
      <c r="E270" s="60"/>
      <c r="F270" s="51"/>
      <c r="G270" s="57"/>
      <c r="H270" s="58"/>
      <c r="I270" s="48"/>
    </row>
    <row r="271" customFormat="false" ht="14.25" hidden="false" customHeight="false" outlineLevel="0" collapsed="false">
      <c r="B271" s="55"/>
      <c r="C271" s="39"/>
      <c r="D271" s="56"/>
      <c r="E271" s="60"/>
      <c r="F271" s="51"/>
      <c r="G271" s="57"/>
      <c r="H271" s="58"/>
      <c r="I271" s="48"/>
    </row>
    <row r="272" customFormat="false" ht="14.25" hidden="false" customHeight="false" outlineLevel="0" collapsed="false">
      <c r="B272" s="55"/>
      <c r="C272" s="39"/>
      <c r="D272" s="56"/>
      <c r="E272" s="60"/>
      <c r="F272" s="51"/>
      <c r="G272" s="57"/>
      <c r="H272" s="58"/>
      <c r="I272" s="48"/>
    </row>
    <row r="273" customFormat="false" ht="14.25" hidden="false" customHeight="false" outlineLevel="0" collapsed="false">
      <c r="B273" s="55"/>
      <c r="C273" s="39"/>
      <c r="D273" s="56"/>
      <c r="E273" s="60"/>
      <c r="F273" s="51"/>
      <c r="G273" s="57"/>
      <c r="H273" s="58"/>
      <c r="I273" s="48"/>
    </row>
    <row r="274" customFormat="false" ht="14.25" hidden="false" customHeight="false" outlineLevel="0" collapsed="false">
      <c r="B274" s="55"/>
      <c r="C274" s="39"/>
      <c r="D274" s="56"/>
      <c r="E274" s="60"/>
      <c r="F274" s="51"/>
      <c r="G274" s="57"/>
      <c r="H274" s="58"/>
      <c r="I274" s="48"/>
    </row>
    <row r="275" customFormat="false" ht="14.25" hidden="false" customHeight="false" outlineLevel="0" collapsed="false">
      <c r="B275" s="55"/>
      <c r="C275" s="39"/>
      <c r="D275" s="56"/>
      <c r="E275" s="60"/>
      <c r="F275" s="51"/>
      <c r="G275" s="57"/>
      <c r="H275" s="58"/>
      <c r="I275" s="48"/>
    </row>
    <row r="276" customFormat="false" ht="14.25" hidden="false" customHeight="false" outlineLevel="0" collapsed="false">
      <c r="B276" s="55"/>
      <c r="C276" s="39"/>
      <c r="D276" s="56"/>
      <c r="E276" s="60"/>
      <c r="F276" s="51"/>
      <c r="G276" s="57"/>
      <c r="H276" s="58"/>
      <c r="I276" s="48"/>
    </row>
    <row r="277" customFormat="false" ht="14.25" hidden="false" customHeight="false" outlineLevel="0" collapsed="false">
      <c r="B277" s="55"/>
      <c r="C277" s="39"/>
      <c r="D277" s="56"/>
      <c r="E277" s="60"/>
      <c r="F277" s="51"/>
      <c r="G277" s="57"/>
      <c r="H277" s="58"/>
      <c r="I277" s="48"/>
    </row>
    <row r="278" customFormat="false" ht="14.25" hidden="false" customHeight="false" outlineLevel="0" collapsed="false">
      <c r="B278" s="55"/>
      <c r="C278" s="39"/>
      <c r="D278" s="56"/>
      <c r="E278" s="60"/>
      <c r="F278" s="51"/>
      <c r="G278" s="57"/>
      <c r="H278" s="58"/>
      <c r="I278" s="48"/>
    </row>
    <row r="279" customFormat="false" ht="14.25" hidden="false" customHeight="false" outlineLevel="0" collapsed="false">
      <c r="B279" s="55"/>
      <c r="C279" s="39"/>
      <c r="D279" s="56"/>
      <c r="E279" s="60"/>
      <c r="F279" s="51"/>
      <c r="G279" s="57"/>
      <c r="H279" s="58"/>
      <c r="I279" s="48"/>
    </row>
    <row r="280" customFormat="false" ht="14.25" hidden="false" customHeight="false" outlineLevel="0" collapsed="false">
      <c r="B280" s="55"/>
      <c r="C280" s="39"/>
      <c r="D280" s="56"/>
      <c r="E280" s="60"/>
      <c r="F280" s="51"/>
      <c r="G280" s="57"/>
      <c r="H280" s="58"/>
      <c r="I280" s="48"/>
    </row>
    <row r="281" customFormat="false" ht="14.25" hidden="false" customHeight="false" outlineLevel="0" collapsed="false">
      <c r="B281" s="55"/>
      <c r="C281" s="39"/>
      <c r="D281" s="56"/>
      <c r="E281" s="60"/>
      <c r="F281" s="51"/>
      <c r="G281" s="57"/>
      <c r="H281" s="58"/>
      <c r="I281" s="48"/>
    </row>
    <row r="282" customFormat="false" ht="14.25" hidden="false" customHeight="false" outlineLevel="0" collapsed="false">
      <c r="B282" s="55"/>
      <c r="C282" s="39"/>
      <c r="D282" s="56"/>
      <c r="E282" s="60"/>
      <c r="F282" s="51"/>
      <c r="G282" s="57"/>
      <c r="H282" s="58"/>
      <c r="I282" s="48"/>
    </row>
    <row r="283" customFormat="false" ht="14.25" hidden="false" customHeight="false" outlineLevel="0" collapsed="false">
      <c r="B283" s="55"/>
      <c r="C283" s="39"/>
      <c r="D283" s="56"/>
      <c r="E283" s="60"/>
      <c r="F283" s="51"/>
      <c r="G283" s="57"/>
      <c r="H283" s="58"/>
      <c r="I283" s="48"/>
    </row>
    <row r="284" customFormat="false" ht="14.25" hidden="false" customHeight="false" outlineLevel="0" collapsed="false">
      <c r="B284" s="55"/>
      <c r="C284" s="39"/>
      <c r="D284" s="56"/>
      <c r="E284" s="60"/>
      <c r="F284" s="51"/>
      <c r="G284" s="57"/>
      <c r="H284" s="58"/>
      <c r="I284" s="48"/>
    </row>
    <row r="285" customFormat="false" ht="14.25" hidden="false" customHeight="false" outlineLevel="0" collapsed="false">
      <c r="B285" s="55"/>
      <c r="C285" s="39"/>
      <c r="D285" s="56"/>
      <c r="E285" s="60"/>
      <c r="F285" s="51"/>
      <c r="G285" s="57"/>
      <c r="H285" s="58"/>
      <c r="I285" s="48"/>
    </row>
    <row r="286" customFormat="false" ht="14.25" hidden="false" customHeight="false" outlineLevel="0" collapsed="false">
      <c r="B286" s="55"/>
      <c r="C286" s="39"/>
      <c r="D286" s="56"/>
      <c r="E286" s="60"/>
      <c r="F286" s="51"/>
      <c r="G286" s="57"/>
      <c r="H286" s="58"/>
      <c r="I286" s="48"/>
    </row>
    <row r="287" customFormat="false" ht="14.25" hidden="false" customHeight="false" outlineLevel="0" collapsed="false">
      <c r="B287" s="55"/>
      <c r="C287" s="39"/>
      <c r="D287" s="56"/>
      <c r="E287" s="60"/>
      <c r="F287" s="51"/>
      <c r="G287" s="57"/>
      <c r="H287" s="58"/>
      <c r="I287" s="48"/>
    </row>
    <row r="288" customFormat="false" ht="14.25" hidden="false" customHeight="false" outlineLevel="0" collapsed="false">
      <c r="B288" s="55"/>
      <c r="C288" s="39"/>
      <c r="D288" s="56"/>
      <c r="E288" s="60"/>
      <c r="F288" s="51"/>
      <c r="G288" s="57"/>
      <c r="H288" s="58"/>
      <c r="I288" s="48"/>
    </row>
    <row r="289" customFormat="false" ht="14.25" hidden="false" customHeight="false" outlineLevel="0" collapsed="false">
      <c r="B289" s="55"/>
      <c r="C289" s="39"/>
      <c r="D289" s="56"/>
      <c r="E289" s="60"/>
      <c r="F289" s="51"/>
      <c r="G289" s="57"/>
      <c r="H289" s="58"/>
      <c r="I289" s="48"/>
    </row>
    <row r="290" customFormat="false" ht="14.25" hidden="false" customHeight="false" outlineLevel="0" collapsed="false">
      <c r="B290" s="55"/>
      <c r="C290" s="39"/>
      <c r="D290" s="56"/>
      <c r="E290" s="60"/>
      <c r="F290" s="51"/>
      <c r="G290" s="57"/>
      <c r="H290" s="58"/>
      <c r="I290" s="48"/>
    </row>
    <row r="291" customFormat="false" ht="14.25" hidden="false" customHeight="false" outlineLevel="0" collapsed="false">
      <c r="B291" s="55"/>
      <c r="C291" s="39"/>
      <c r="D291" s="56"/>
      <c r="E291" s="60"/>
      <c r="F291" s="51"/>
      <c r="G291" s="57"/>
      <c r="H291" s="58"/>
      <c r="I291" s="48"/>
    </row>
    <row r="292" customFormat="false" ht="14.25" hidden="false" customHeight="false" outlineLevel="0" collapsed="false">
      <c r="B292" s="55"/>
      <c r="C292" s="39"/>
      <c r="D292" s="56"/>
      <c r="E292" s="60"/>
      <c r="F292" s="51"/>
      <c r="G292" s="57"/>
      <c r="H292" s="58"/>
      <c r="I292" s="48"/>
    </row>
    <row r="293" customFormat="false" ht="14.25" hidden="false" customHeight="false" outlineLevel="0" collapsed="false">
      <c r="B293" s="55"/>
      <c r="C293" s="39"/>
      <c r="D293" s="56"/>
      <c r="E293" s="60"/>
      <c r="F293" s="51"/>
      <c r="G293" s="57"/>
      <c r="H293" s="58"/>
      <c r="I293" s="48"/>
    </row>
    <row r="294" customFormat="false" ht="14.25" hidden="false" customHeight="false" outlineLevel="0" collapsed="false">
      <c r="B294" s="55"/>
      <c r="C294" s="39"/>
      <c r="D294" s="56"/>
      <c r="E294" s="60"/>
      <c r="F294" s="51"/>
      <c r="G294" s="57"/>
      <c r="H294" s="58"/>
      <c r="I294" s="48"/>
    </row>
    <row r="295" customFormat="false" ht="14.25" hidden="false" customHeight="false" outlineLevel="0" collapsed="false">
      <c r="B295" s="55"/>
      <c r="C295" s="39"/>
      <c r="D295" s="56"/>
      <c r="E295" s="60"/>
      <c r="F295" s="51"/>
      <c r="G295" s="57"/>
      <c r="H295" s="58"/>
      <c r="I295" s="48"/>
    </row>
    <row r="296" customFormat="false" ht="14.25" hidden="false" customHeight="false" outlineLevel="0" collapsed="false">
      <c r="B296" s="55"/>
      <c r="C296" s="39"/>
      <c r="D296" s="56"/>
      <c r="E296" s="60"/>
      <c r="F296" s="51"/>
      <c r="G296" s="57"/>
      <c r="H296" s="58"/>
      <c r="I296" s="48"/>
    </row>
    <row r="297" customFormat="false" ht="14.25" hidden="false" customHeight="false" outlineLevel="0" collapsed="false">
      <c r="B297" s="55"/>
      <c r="C297" s="39"/>
      <c r="D297" s="56"/>
      <c r="E297" s="60"/>
      <c r="F297" s="51"/>
      <c r="G297" s="57"/>
      <c r="H297" s="58"/>
      <c r="I297" s="48"/>
    </row>
    <row r="298" customFormat="false" ht="14.25" hidden="false" customHeight="false" outlineLevel="0" collapsed="false">
      <c r="B298" s="55"/>
      <c r="C298" s="39"/>
      <c r="D298" s="56"/>
      <c r="E298" s="60"/>
      <c r="F298" s="51"/>
      <c r="G298" s="57"/>
      <c r="H298" s="58"/>
      <c r="I298" s="48"/>
    </row>
    <row r="299" customFormat="false" ht="14.25" hidden="false" customHeight="false" outlineLevel="0" collapsed="false">
      <c r="B299" s="55"/>
      <c r="C299" s="39"/>
      <c r="D299" s="56"/>
      <c r="E299" s="60"/>
      <c r="F299" s="51"/>
      <c r="G299" s="57"/>
      <c r="H299" s="58"/>
      <c r="I299" s="48"/>
    </row>
    <row r="300" customFormat="false" ht="14.25" hidden="false" customHeight="false" outlineLevel="0" collapsed="false">
      <c r="B300" s="55"/>
      <c r="C300" s="39"/>
      <c r="D300" s="56"/>
      <c r="E300" s="60"/>
      <c r="F300" s="51"/>
      <c r="G300" s="57"/>
      <c r="H300" s="58"/>
      <c r="I300" s="48"/>
    </row>
  </sheetData>
  <mergeCells count="8">
    <mergeCell ref="A1:H1"/>
    <mergeCell ref="A2:H2"/>
    <mergeCell ref="A4:H4"/>
    <mergeCell ref="A24:H24"/>
    <mergeCell ref="A44:H44"/>
    <mergeCell ref="A64:H64"/>
    <mergeCell ref="A84:H84"/>
    <mergeCell ref="A104:H104"/>
  </mergeCells>
  <dataValidations count="6">
    <dataValidation allowBlank="true" errorStyle="stop" operator="between" showDropDown="false" showErrorMessage="false" showInputMessage="false" sqref="B4" type="list">
      <formula1>"1,2,3,4,5,6,7"</formula1>
      <formula2>0</formula2>
    </dataValidation>
    <dataValidation allowBlank="true" errorStyle="stop" operator="between" showDropDown="false" showErrorMessage="false" showInputMessage="false" sqref="C4:C129 C131:C300" type="list">
      <formula1>"OBI_T,OBI_S,OBI_P,SII_A,SII_T,SII_R,DMA,CHR,MCS,SOA,SPI,CLM,CRS,OMS,DYN,CRK,COACH_R,COACH_T,COACH_I,KEY,STK,LGP,VRP,HZP,DRB,CAR,INT,TAC"</formula1>
      <formula2>0</formula2>
    </dataValidation>
    <dataValidation allowBlank="true" errorStyle="stop" operator="between" showDropDown="false" showErrorMessage="false" showInputMessage="false" sqref="G4:G129" type="list">
      <formula1>"Positive indicator,Anti-indicator,Neutral observation,Camera blind — unobservable"</formula1>
      <formula2>0</formula2>
    </dataValidation>
    <dataValidation allowBlank="true" errorStyle="stop" operator="between" showDropDown="false" showErrorMessage="false" showInputMessage="false" sqref="H4:H129" type="list">
      <formula1>"Yes,No — blind side,No — quality issue"</formula1>
      <formula2>0</formula2>
    </dataValidation>
    <dataValidation allowBlank="true" errorStyle="stop" operator="between" showDropDown="false" showErrorMessage="false" showInputMessage="false" sqref="F4:F123" type="whole">
      <formula1>1</formula1>
      <formula2>10</formula2>
    </dataValidation>
    <dataValidation allowBlank="true" errorStyle="stop" operator="between" showDropDown="false" showErrorMessage="true" showInputMessage="true" sqref="B5:B129 B131:B300" type="list">
      <formula1>"1,2,3,4,5,6,7,8,9,10"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2644"/>
    <pageSetUpPr fitToPage="false"/>
  </sheetPr>
  <dimension ref="A1:K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3" topLeftCell="B24" activePane="bottomRight" state="frozen"/>
      <selection pane="topLeft" activeCell="A1" activeCellId="0" sqref="A1"/>
      <selection pane="topRight" activeCell="B1" activeCellId="0" sqref="B1"/>
      <selection pane="bottomLeft" activeCell="A24" activeCellId="0" sqref="A24"/>
      <selection pane="bottomRight" activeCell="H48" activeCellId="0" sqref="H48"/>
    </sheetView>
  </sheetViews>
  <sheetFormatPr defaultColWidth="8.66796875" defaultRowHeight="14.25" customHeight="false" zeroHeight="false" outlineLevelRow="0" outlineLevelCol="0"/>
  <cols>
    <col collapsed="false" customWidth="true" hidden="false" outlineLevel="0" max="1" min="1" style="0" width="3"/>
    <col collapsed="false" customWidth="true" hidden="false" outlineLevel="0" max="2" min="2" style="0" width="87.22"/>
    <col collapsed="false" customWidth="true" hidden="false" outlineLevel="0" max="3" min="3" style="0" width="12"/>
    <col collapsed="false" customWidth="true" hidden="false" outlineLevel="0" max="8" min="4" style="0" width="10"/>
    <col collapsed="false" customWidth="true" hidden="false" outlineLevel="0" max="9" min="9" style="0" width="48.44"/>
    <col collapsed="false" customWidth="true" hidden="false" outlineLevel="0" max="10" min="10" style="0" width="28.22"/>
  </cols>
  <sheetData>
    <row r="1" customFormat="false" ht="14.25" hidden="false" customHeight="true" outlineLevel="0" collapsed="false">
      <c r="A1" s="29" t="s">
        <v>316</v>
      </c>
      <c r="B1" s="29"/>
      <c r="C1" s="29"/>
      <c r="D1" s="29"/>
      <c r="E1" s="29"/>
      <c r="F1" s="29"/>
      <c r="G1" s="29"/>
      <c r="H1" s="29"/>
      <c r="I1" s="29"/>
      <c r="J1" s="29"/>
    </row>
    <row r="2" customFormat="false" ht="14.25" hidden="false" customHeight="true" outlineLevel="0" collapsed="false">
      <c r="A2" s="31" t="s">
        <v>317</v>
      </c>
      <c r="B2" s="31"/>
      <c r="C2" s="31"/>
      <c r="D2" s="31"/>
      <c r="E2" s="31"/>
      <c r="F2" s="31"/>
      <c r="G2" s="31"/>
      <c r="H2" s="31"/>
      <c r="I2" s="31"/>
      <c r="J2" s="31"/>
    </row>
    <row r="3" customFormat="false" ht="14.25" hidden="false" customHeight="true" outlineLevel="0" collapsed="false">
      <c r="B3" s="62" t="s">
        <v>318</v>
      </c>
      <c r="C3" s="62"/>
      <c r="D3" s="62"/>
      <c r="E3" s="63" t="str">
        <f aca="false">PLAYER_PROFILE!C3</f>
        <v>Ronaldo de Assis Moreira "Ronaldinho Gaúcho"</v>
      </c>
      <c r="F3" s="63"/>
      <c r="G3" s="63"/>
      <c r="H3" s="63"/>
      <c r="I3" s="63"/>
      <c r="J3" s="63"/>
    </row>
    <row r="5" customFormat="false" ht="14.25" hidden="false" customHeight="true" outlineLevel="0" collapsed="false">
      <c r="B5" s="64" t="s">
        <v>319</v>
      </c>
      <c r="C5" s="64"/>
      <c r="D5" s="64"/>
      <c r="E5" s="64"/>
      <c r="F5" s="64"/>
      <c r="G5" s="64"/>
      <c r="H5" s="64"/>
      <c r="I5" s="64"/>
      <c r="J5" s="64"/>
    </row>
    <row r="6" customFormat="false" ht="20.25" hidden="false" customHeight="true" outlineLevel="0" collapsed="false">
      <c r="B6" s="65" t="s">
        <v>320</v>
      </c>
      <c r="C6" s="65" t="s">
        <v>321</v>
      </c>
      <c r="D6" s="65" t="s">
        <v>322</v>
      </c>
      <c r="E6" s="65" t="s">
        <v>323</v>
      </c>
      <c r="F6" s="65" t="s">
        <v>324</v>
      </c>
      <c r="G6" s="65" t="s">
        <v>325</v>
      </c>
      <c r="H6" s="65" t="s">
        <v>326</v>
      </c>
      <c r="I6" s="65" t="s">
        <v>327</v>
      </c>
      <c r="J6" s="65" t="s">
        <v>328</v>
      </c>
      <c r="K6" s="66" t="s">
        <v>329</v>
      </c>
    </row>
    <row r="7" customFormat="false" ht="24" hidden="false" customHeight="true" outlineLevel="0" collapsed="false">
      <c r="B7" s="67" t="s">
        <v>330</v>
      </c>
      <c r="C7" s="68" t="s">
        <v>331</v>
      </c>
      <c r="D7" s="68" t="n">
        <f aca="false">COUNTIF(EVENT_LOG!$C:$C,"OBI_T")</f>
        <v>8</v>
      </c>
      <c r="E7" s="68" t="n">
        <f aca="false">COUNTIFS(EVENT_LOG!$C:$C,"OBI_T",EVENT_LOG!$G:$G,"Positive indicator")</f>
        <v>8</v>
      </c>
      <c r="F7" s="68" t="n">
        <f aca="false">COUNTIFS(EVENT_LOG!$C:$C,"OBI_T",EVENT_LOG!$G:$G,"Anti-indicator")</f>
        <v>0</v>
      </c>
      <c r="G7" s="69" t="n">
        <f aca="false">IFERROR(AVERAGEIFS(EVENT_LOG!$F:$F,EVENT_LOG!$C:$C,"OBI_T",EVENT_LOG!$G:$G,"Positive indicator"),"—")</f>
        <v>8.28571428571429</v>
      </c>
      <c r="H7" s="70" t="n">
        <f aca="false">IF(ISNUMBER(G7),MAX(0,MIN(10,G7)),"—")</f>
        <v>8.28571428571429</v>
      </c>
      <c r="I7" s="68" t="str">
        <f aca="false">IF(ISNUMBER(D7),IF(K7&gt;=3,"✅ OK","⚠️ &lt;3 distinct matches — VIDEO_PENDING"),"—")</f>
        <v>✅ OK</v>
      </c>
      <c r="J7" s="71" t="s">
        <v>332</v>
      </c>
      <c r="K7" s="72" t="n">
        <f aca="false">SUMPRODUCT(--(COUNTIFS(EVENT_LOG!$C:$C,"OBI_T",EVENT_LOG!$B:$B,{1,2,3,4,5,6,7,8,9,10,11,12,13,14,15,16,17,18,19,20,21,22,23,24,25,26,27,28,29,30,31,32,33,34,35,36,37,38,39,40,41,42,43,44,45,46,47,48,49,50})&gt;0))</f>
        <v>4</v>
      </c>
    </row>
    <row r="8" customFormat="false" ht="24" hidden="false" customHeight="true" outlineLevel="0" collapsed="false">
      <c r="B8" s="67" t="s">
        <v>333</v>
      </c>
      <c r="C8" s="68" t="s">
        <v>331</v>
      </c>
      <c r="D8" s="68" t="n">
        <f aca="false">COUNTIF(EVENT_LOG!$C:$C,"OBI_S")</f>
        <v>5</v>
      </c>
      <c r="E8" s="68" t="n">
        <f aca="false">COUNTIFS(EVENT_LOG!$C:$C,"OBI_S",EVENT_LOG!$G:$G,"Positive indicator")</f>
        <v>5</v>
      </c>
      <c r="F8" s="68" t="n">
        <f aca="false">COUNTIFS(EVENT_LOG!$C:$C,"OBI_S",EVENT_LOG!$G:$G,"Anti-indicator")</f>
        <v>0</v>
      </c>
      <c r="G8" s="69" t="n">
        <f aca="false">IFERROR(AVERAGEIFS(EVENT_LOG!$F:$F,EVENT_LOG!$C:$C,"OBI_S",EVENT_LOG!$G:$G,"Positive indicator"),"—")</f>
        <v>7.8</v>
      </c>
      <c r="H8" s="70" t="n">
        <f aca="false">IF(ISNUMBER(G8),MAX(0,MIN(10,G8)),"—")</f>
        <v>7.8</v>
      </c>
      <c r="I8" s="68" t="str">
        <f aca="false">IF(ISNUMBER(D8),IF(K8&gt;=3,"✅ OK","⚠️ &lt;3 distinct matches — VIDEO_PENDING"),"—")</f>
        <v>✅ OK</v>
      </c>
      <c r="J8" s="71" t="s">
        <v>334</v>
      </c>
      <c r="K8" s="72" t="n">
        <f aca="false">SUMPRODUCT(--(COUNTIFS(EVENT_LOG!$C:$C,"OBI_S",EVENT_LOG!$B:$B,{1,2,3,4,5,6,7,8,9,10,11,12,13,14,15,16,17,18,19,20,21,22,23,24,25,26,27,28,29,30,31,32,33,34,35,36,37,38,39,40,41,42,43,44,45,46,47,48,49,50})&gt;0))</f>
        <v>3</v>
      </c>
    </row>
    <row r="9" customFormat="false" ht="36" hidden="false" customHeight="true" outlineLevel="0" collapsed="false">
      <c r="B9" s="67" t="s">
        <v>335</v>
      </c>
      <c r="C9" s="68" t="s">
        <v>336</v>
      </c>
      <c r="D9" s="68" t="n">
        <f aca="false">COUNTIF(EVENT_LOG!$C:$C,"OBI_P")</f>
        <v>6</v>
      </c>
      <c r="E9" s="68" t="n">
        <f aca="false">COUNTIFS(EVENT_LOG!$C:$C,"OBI_P",EVENT_LOG!$G:$G,"Positive indicator")</f>
        <v>6</v>
      </c>
      <c r="F9" s="68" t="n">
        <f aca="false">COUNTIFS(EVENT_LOG!$C:$C,"OBI_P",EVENT_LOG!$G:$G,"Anti-indicator")</f>
        <v>0</v>
      </c>
      <c r="G9" s="69" t="n">
        <f aca="false">IFERROR(AVERAGEIFS(EVENT_LOG!$F:$F,EVENT_LOG!$C:$C,"OBI_P",EVENT_LOG!$G:$G,"Positive indicator"),"—")</f>
        <v>6.66666666666667</v>
      </c>
      <c r="H9" s="70" t="n">
        <f aca="false">IF(ISNUMBER(G9),MAX(0,MIN(10,G9)),"—")</f>
        <v>6.66666666666667</v>
      </c>
      <c r="I9" s="68" t="str">
        <f aca="false">IF(ISNUMBER(D9),IF(K9&gt;=3,"✅ OK","⚠️ &lt;3 distinct matches — VIDEO_PENDING"),"—")</f>
        <v>✅ OK</v>
      </c>
      <c r="J9" s="71" t="s">
        <v>337</v>
      </c>
      <c r="K9" s="72" t="n">
        <f aca="false">SUMPRODUCT(--(COUNTIFS(EVENT_LOG!$C:$C,"OBI_P",EVENT_LOG!$B:$B,{1,2,3,4,5,6,7,8,9,10,11,12,13,14,15,16,17,18,19,20,21,22,23,24,25,26,27,28,29,30,31,32,33,34,35,36,37,38,39,40,41,42,43,44,45,46,47,48,49,50})&gt;0))</f>
        <v>3</v>
      </c>
    </row>
    <row r="10" customFormat="false" ht="22.5" hidden="false" customHeight="true" outlineLevel="0" collapsed="false">
      <c r="B10" s="33" t="s">
        <v>338</v>
      </c>
      <c r="C10" s="73" t="s">
        <v>339</v>
      </c>
      <c r="D10" s="74"/>
      <c r="E10" s="74"/>
      <c r="F10" s="74"/>
      <c r="G10" s="74"/>
      <c r="H10" s="75" t="n">
        <f aca="false">IF(AND(ISNUMBER(H7),ISNUMBER(H8),ISNUMBER(H9)),ROUND(H7*0.35+H8*0.35+H9*0.3,2),"—")</f>
        <v>7.63</v>
      </c>
      <c r="I10" s="68" t="str">
        <f aca="false">IF(AND(K7&gt;=3,K8&gt;=3,K9&gt;=3),"✅ Transfer ready","⚠️ Sub-metrics pending")</f>
        <v>✅ Transfer ready</v>
      </c>
      <c r="J10" s="76" t="s">
        <v>340</v>
      </c>
    </row>
    <row r="12" customFormat="false" ht="14.25" hidden="false" customHeight="true" outlineLevel="0" collapsed="false">
      <c r="B12" s="64" t="s">
        <v>341</v>
      </c>
      <c r="C12" s="64"/>
      <c r="D12" s="64"/>
      <c r="E12" s="64"/>
      <c r="F12" s="64"/>
      <c r="G12" s="64"/>
      <c r="H12" s="64"/>
      <c r="I12" s="64"/>
      <c r="J12" s="64"/>
    </row>
    <row r="13" customFormat="false" ht="20.25" hidden="false" customHeight="true" outlineLevel="0" collapsed="false">
      <c r="B13" s="65" t="s">
        <v>320</v>
      </c>
      <c r="C13" s="65" t="s">
        <v>321</v>
      </c>
      <c r="D13" s="65" t="s">
        <v>322</v>
      </c>
      <c r="E13" s="65" t="s">
        <v>323</v>
      </c>
      <c r="F13" s="65" t="s">
        <v>324</v>
      </c>
      <c r="G13" s="65" t="s">
        <v>325</v>
      </c>
      <c r="H13" s="65" t="s">
        <v>326</v>
      </c>
      <c r="I13" s="65" t="s">
        <v>327</v>
      </c>
      <c r="J13" s="65" t="s">
        <v>328</v>
      </c>
      <c r="K13" s="66" t="s">
        <v>329</v>
      </c>
    </row>
    <row r="14" customFormat="false" ht="24" hidden="false" customHeight="true" outlineLevel="0" collapsed="false">
      <c r="B14" s="77" t="s">
        <v>342</v>
      </c>
      <c r="C14" s="68" t="s">
        <v>343</v>
      </c>
      <c r="D14" s="68" t="n">
        <f aca="false">COUNTIF(EVENT_LOG!$C:$C,"SII_A")</f>
        <v>9</v>
      </c>
      <c r="E14" s="68" t="n">
        <f aca="false">COUNTIFS(EVENT_LOG!$C:$C,"SII_A",EVENT_LOG!$G:$G,"Positive indicator")</f>
        <v>9</v>
      </c>
      <c r="F14" s="68" t="n">
        <f aca="false">COUNTIFS(EVENT_LOG!$C:$C,"SII_A",EVENT_LOG!$G:$G,"Anti-indicator")</f>
        <v>0</v>
      </c>
      <c r="G14" s="69" t="n">
        <f aca="false">IFERROR(AVERAGEIFS(EVENT_LOG!$F:$F,EVENT_LOG!$C:$C,"SII_A",EVENT_LOG!$G:$G,"Positive indicator"),"—")</f>
        <v>8.88888888888889</v>
      </c>
      <c r="H14" s="70" t="n">
        <f aca="false">IF(ISNUMBER(G14),MAX(0,MIN(10,G14)),"—")</f>
        <v>8.88888888888889</v>
      </c>
      <c r="I14" s="68" t="str">
        <f aca="false">IF(ISNUMBER(D14),IF(K14&gt;=3,"✅ OK","⚠️ &lt;3 distinct matches — VIDEO_PENDING"),"—")</f>
        <v>✅ OK</v>
      </c>
      <c r="J14" s="71" t="s">
        <v>344</v>
      </c>
      <c r="K14" s="72" t="n">
        <f aca="false">SUMPRODUCT(--(COUNTIFS(EVENT_LOG!$C:$C,"SII_A",EVENT_LOG!$B:$B,{1,2,3,4,5,6,7,8,9,10,11,12,13,14,15,16,17,18,19,20,21,22,23,24,25,26,27,28,29,30,31,32,33,34,35,36,37,38,39,40,41,42,43,44,45,46,47,48,49,50})&gt;0))</f>
        <v>4</v>
      </c>
    </row>
    <row r="15" customFormat="false" ht="24" hidden="false" customHeight="true" outlineLevel="0" collapsed="false">
      <c r="B15" s="77" t="s">
        <v>345</v>
      </c>
      <c r="C15" s="68" t="s">
        <v>331</v>
      </c>
      <c r="D15" s="68" t="n">
        <f aca="false">COUNTIF(EVENT_LOG!$C:$C,"SII_T")</f>
        <v>6</v>
      </c>
      <c r="E15" s="68" t="n">
        <f aca="false">COUNTIFS(EVENT_LOG!$C:$C,"SII_T",EVENT_LOG!$G:$G,"Positive indicator")</f>
        <v>6</v>
      </c>
      <c r="F15" s="68" t="n">
        <f aca="false">COUNTIFS(EVENT_LOG!$C:$C,"SII_T",EVENT_LOG!$G:$G,"Anti-indicator")</f>
        <v>0</v>
      </c>
      <c r="G15" s="69" t="n">
        <f aca="false">IFERROR(AVERAGEIFS(EVENT_LOG!$F:$F,EVENT_LOG!$C:$C,"SII_T",EVENT_LOG!$G:$G,"Positive indicator"),"—")</f>
        <v>8</v>
      </c>
      <c r="H15" s="70" t="n">
        <f aca="false">IF(ISNUMBER(G15),MAX(0,MIN(10,G15)),"—")</f>
        <v>8</v>
      </c>
      <c r="I15" s="68" t="str">
        <f aca="false">IF(ISNUMBER(D15),IF(K15&gt;=3,"✅ OK","⚠️ &lt;3 distinct matches — VIDEO_PENDING"),"—")</f>
        <v>✅ OK</v>
      </c>
      <c r="J15" s="71" t="s">
        <v>346</v>
      </c>
      <c r="K15" s="72" t="n">
        <f aca="false">SUMPRODUCT(--(COUNTIFS(EVENT_LOG!$C:$C,"SII_T",EVENT_LOG!$B:$B,{1,2,3,4,5,6,7,8,9,10,11,12,13,14,15,16,17,18,19,20,21,22,23,24,25,26,27,28,29,30,31,32,33,34,35,36,37,38,39,40,41,42,43,44,45,46,47,48,49,50})&gt;0))</f>
        <v>3</v>
      </c>
    </row>
    <row r="16" customFormat="false" ht="24" hidden="false" customHeight="true" outlineLevel="0" collapsed="false">
      <c r="B16" s="77" t="s">
        <v>347</v>
      </c>
      <c r="C16" s="68" t="s">
        <v>348</v>
      </c>
      <c r="D16" s="68" t="n">
        <f aca="false">COUNTIF(EVENT_LOG!$C:$C,"SII_R")</f>
        <v>4</v>
      </c>
      <c r="E16" s="68" t="n">
        <f aca="false">COUNTIFS(EVENT_LOG!$C:$C,"SII_R",EVENT_LOG!$G:$G,"Positive indicator")</f>
        <v>4</v>
      </c>
      <c r="F16" s="68" t="n">
        <f aca="false">COUNTIFS(EVENT_LOG!$C:$C,"SII_R",EVENT_LOG!$G:$G,"Anti-indicator")</f>
        <v>0</v>
      </c>
      <c r="G16" s="69" t="n">
        <f aca="false">IFERROR(AVERAGEIFS(EVENT_LOG!$F:$F,EVENT_LOG!$C:$C,"SII_R",EVENT_LOG!$G:$G,"Positive indicator"),"—")</f>
        <v>8</v>
      </c>
      <c r="H16" s="70" t="n">
        <f aca="false">IF(ISNUMBER(G16),MAX(0,MIN(10,G16)),"—")</f>
        <v>8</v>
      </c>
      <c r="I16" s="68" t="str">
        <f aca="false">IF(ISNUMBER(D16),IF(K16&gt;=3,"✅ OK","⚠️ &lt;3 distinct matches — VIDEO_PENDING"),"—")</f>
        <v>✅ OK</v>
      </c>
      <c r="J16" s="71" t="s">
        <v>349</v>
      </c>
      <c r="K16" s="72" t="n">
        <f aca="false">SUMPRODUCT(--(COUNTIFS(EVENT_LOG!$C:$C,"SII_R",EVENT_LOG!$B:$B,{1,2,3,4,5,6,7,8,9,10,11,12,13,14,15,16,17,18,19,20,21,22,23,24,25,26,27,28,29,30,31,32,33,34,35,36,37,38,39,40,41,42,43,44,45,46,47,48,49,50})&gt;0))</f>
        <v>3</v>
      </c>
    </row>
    <row r="17" customFormat="false" ht="22.5" hidden="false" customHeight="true" outlineLevel="0" collapsed="false">
      <c r="B17" s="33" t="s">
        <v>350</v>
      </c>
      <c r="C17" s="73" t="s">
        <v>351</v>
      </c>
      <c r="D17" s="74"/>
      <c r="E17" s="74"/>
      <c r="F17" s="74"/>
      <c r="G17" s="74"/>
      <c r="H17" s="75" t="n">
        <f aca="false">IF(AND(ISNUMBER(H14),ISNUMBER(H15),ISNUMBER(H16)),ROUND(H14*0.4+H15*0.35+H16*0.25,2),"—")</f>
        <v>8.36</v>
      </c>
      <c r="I17" s="68" t="str">
        <f aca="false">IF(AND(K14&gt;=3,K15&gt;=3,K16&gt;=3),"✅ Transfer ready","⚠️ Sub-metrics pending")</f>
        <v>✅ Transfer ready</v>
      </c>
      <c r="J17" s="76" t="s">
        <v>352</v>
      </c>
    </row>
    <row r="19" customFormat="false" ht="14.25" hidden="false" customHeight="true" outlineLevel="0" collapsed="false">
      <c r="B19" s="64" t="s">
        <v>353</v>
      </c>
      <c r="C19" s="64"/>
      <c r="D19" s="64"/>
      <c r="E19" s="64"/>
      <c r="F19" s="64"/>
      <c r="G19" s="64"/>
      <c r="H19" s="64"/>
      <c r="I19" s="64"/>
      <c r="J19" s="64"/>
    </row>
    <row r="20" customFormat="false" ht="20.25" hidden="false" customHeight="true" outlineLevel="0" collapsed="false">
      <c r="B20" s="65" t="s">
        <v>320</v>
      </c>
      <c r="C20" s="65" t="s">
        <v>321</v>
      </c>
      <c r="D20" s="65" t="s">
        <v>322</v>
      </c>
      <c r="E20" s="65" t="s">
        <v>323</v>
      </c>
      <c r="F20" s="65" t="s">
        <v>324</v>
      </c>
      <c r="G20" s="65" t="s">
        <v>325</v>
      </c>
      <c r="H20" s="65" t="s">
        <v>326</v>
      </c>
      <c r="I20" s="65" t="s">
        <v>327</v>
      </c>
      <c r="J20" s="65" t="s">
        <v>328</v>
      </c>
      <c r="K20" s="66" t="s">
        <v>329</v>
      </c>
    </row>
    <row r="21" customFormat="false" ht="24" hidden="false" customHeight="true" outlineLevel="0" collapsed="false">
      <c r="B21" s="78" t="s">
        <v>354</v>
      </c>
      <c r="C21" s="79" t="s">
        <v>355</v>
      </c>
      <c r="D21" s="68" t="n">
        <f aca="false">COUNTIF(EVENT_LOG!$C:$C,"DMA")</f>
        <v>22</v>
      </c>
      <c r="E21" s="68" t="n">
        <f aca="false">COUNTIFS(EVENT_LOG!$C:$C,"DMA",EVENT_LOG!$G:$G,"Positive indicator")</f>
        <v>22</v>
      </c>
      <c r="F21" s="68" t="n">
        <f aca="false">COUNTIFS(EVENT_LOG!$C:$C,"DMA",EVENT_LOG!$G:$G,"Anti-indicator")</f>
        <v>0</v>
      </c>
      <c r="G21" s="69" t="n">
        <f aca="false">IFERROR(AVERAGEIFS(EVENT_LOG!$F:$F,EVENT_LOG!$C:$C,"DMA",EVENT_LOG!$G:$G,"Positive indicator"),"—")</f>
        <v>7.3</v>
      </c>
      <c r="H21" s="70" t="n">
        <f aca="false">IF(ISNUMBER(G21),MAX(0,MIN(10,G21)),"—")</f>
        <v>7.3</v>
      </c>
      <c r="I21" s="68" t="str">
        <f aca="false">IF(ISNUMBER(D21),IF(K21&gt;=3,"✅ OK","⚠️ &lt;3 distinct matches — VIDEO_PENDING"),"—")</f>
        <v>✅ OK</v>
      </c>
      <c r="J21" s="71" t="s">
        <v>356</v>
      </c>
      <c r="K21" s="72" t="n">
        <f aca="false">SUMPRODUCT(--(COUNTIFS(EVENT_LOG!$C:$C,"DMA",EVENT_LOG!$B:$B,{1,2,3,4,5,6,7,8,9,10,11,12,13,14,15,16,17,18,19,20,21,22,23,24,25,26,27,28,29,30,31,32,33,34,35,36,37,38,39,40,41,42,43,44,45,46,47,48,49,50})&gt;0))</f>
        <v>6</v>
      </c>
    </row>
    <row r="22" customFormat="false" ht="14.25" hidden="false" customHeight="false" outlineLevel="0" collapsed="false">
      <c r="B22" s="78" t="s">
        <v>357</v>
      </c>
      <c r="C22" s="79" t="s">
        <v>355</v>
      </c>
      <c r="D22" s="68" t="n">
        <f aca="false">COUNTIF(EVENT_LOG!$C:$C,"CHR")</f>
        <v>8</v>
      </c>
      <c r="E22" s="68" t="n">
        <f aca="false">COUNTIFS(EVENT_LOG!$C:$C,"CHR",EVENT_LOG!$G:$G,"Positive indicator")</f>
        <v>8</v>
      </c>
      <c r="F22" s="68" t="n">
        <f aca="false">COUNTIFS(EVENT_LOG!$C:$C,"CHR",EVENT_LOG!$G:$G,"Anti-indicator")</f>
        <v>0</v>
      </c>
      <c r="G22" s="69" t="n">
        <f aca="false">IFERROR(AVERAGEIFS(EVENT_LOG!$F:$F,EVENT_LOG!$C:$C,"CHR",EVENT_LOG!$G:$G,"Positive indicator"),"—")</f>
        <v>8.125</v>
      </c>
      <c r="H22" s="70" t="n">
        <f aca="false">IF(ISNUMBER(G22),MAX(0,MIN(10,G22)),"—")</f>
        <v>8.125</v>
      </c>
      <c r="I22" s="68" t="str">
        <f aca="false">IF(ISNUMBER(D22),IF(K22&gt;=3,"✅ OK","⚠️ &lt;3 distinct matches — VIDEO_PENDING"),"—")</f>
        <v>✅ OK</v>
      </c>
      <c r="J22" s="71" t="s">
        <v>358</v>
      </c>
      <c r="K22" s="72" t="n">
        <f aca="false">SUMPRODUCT(--(COUNTIFS(EVENT_LOG!$C:$C,"CHR",EVENT_LOG!$B:$B,{1,2,3,4,5,6,7,8,9,10,11,12,13,14,15,16,17,18,19,20,21,22,23,24,25,26,27,28,29,30,31,32,33,34,35,36,37,38,39,40,41,42,43,44,45,46,47,48,49,50})&gt;0))</f>
        <v>3</v>
      </c>
    </row>
    <row r="23" customFormat="false" ht="24" hidden="false" customHeight="true" outlineLevel="0" collapsed="false">
      <c r="B23" s="78" t="s">
        <v>359</v>
      </c>
      <c r="C23" s="79" t="s">
        <v>355</v>
      </c>
      <c r="D23" s="68" t="n">
        <f aca="false">COUNTIF(EVENT_LOG!$C:$C,"MCS")</f>
        <v>5</v>
      </c>
      <c r="E23" s="68" t="n">
        <f aca="false">COUNTIFS(EVENT_LOG!$C:$C,"MCS",EVENT_LOG!$G:$G,"Positive indicator")</f>
        <v>5</v>
      </c>
      <c r="F23" s="68" t="n">
        <f aca="false">COUNTIFS(EVENT_LOG!$C:$C,"MCS",EVENT_LOG!$G:$G,"Anti-indicator")</f>
        <v>0</v>
      </c>
      <c r="G23" s="69" t="n">
        <f aca="false">IFERROR(AVERAGEIFS(EVENT_LOG!$F:$F,EVENT_LOG!$C:$C,"MCS",EVENT_LOG!$G:$G,"Positive indicator"),"—")</f>
        <v>7.8</v>
      </c>
      <c r="H23" s="70" t="n">
        <f aca="false">IF(ISNUMBER(G23),MAX(0,MIN(10,G23)),"—")</f>
        <v>7.8</v>
      </c>
      <c r="I23" s="68" t="str">
        <f aca="false">IF(ISNUMBER(D23),IF(K23&gt;=3,"✅ OK","⚠️ &lt;3 distinct matches — VIDEO_PENDING"),"—")</f>
        <v>✅ OK</v>
      </c>
      <c r="J23" s="71" t="s">
        <v>360</v>
      </c>
      <c r="K23" s="72" t="n">
        <f aca="false">SUMPRODUCT(--(COUNTIFS(EVENT_LOG!$C:$C,"MCS",EVENT_LOG!$B:$B,{1,2,3,4,5,6,7,8,9,10,11,12,13,14,15,16,17,18,19,20,21,22,23,24,25,26,27,28,29,30,31,32,33,34,35,36,37,38,39,40,41,42,43,44,45,46,47,48,49,50})&gt;0))</f>
        <v>3</v>
      </c>
    </row>
    <row r="24" customFormat="false" ht="24" hidden="false" customHeight="true" outlineLevel="0" collapsed="false">
      <c r="B24" s="78" t="s">
        <v>361</v>
      </c>
      <c r="C24" s="79" t="s">
        <v>355</v>
      </c>
      <c r="D24" s="68" t="n">
        <f aca="false">COUNTIF(EVENT_LOG!$C:$C,"SOA")</f>
        <v>19</v>
      </c>
      <c r="E24" s="68" t="n">
        <f aca="false">COUNTIFS(EVENT_LOG!$C:$C,"SOA",EVENT_LOG!$G:$G,"Positive indicator")</f>
        <v>19</v>
      </c>
      <c r="F24" s="68" t="n">
        <f aca="false">COUNTIFS(EVENT_LOG!$C:$C,"SOA",EVENT_LOG!$G:$G,"Anti-indicator")</f>
        <v>0</v>
      </c>
      <c r="G24" s="69" t="n">
        <f aca="false">IFERROR(AVERAGEIFS(EVENT_LOG!$F:$F,EVENT_LOG!$C:$C,"SOA",EVENT_LOG!$G:$G,"Positive indicator"),"—")</f>
        <v>7.77777777777778</v>
      </c>
      <c r="H24" s="70" t="n">
        <f aca="false">IF(ISNUMBER(G24),MAX(0,MIN(10,G24)),"—")</f>
        <v>7.77777777777778</v>
      </c>
      <c r="I24" s="68" t="str">
        <f aca="false">IF(ISNUMBER(D24),IF(K24&gt;=3,"✅ OK","⚠️ &lt;3 distinct matches — VIDEO_PENDING"),"—")</f>
        <v>✅ OK</v>
      </c>
      <c r="J24" s="71" t="s">
        <v>362</v>
      </c>
      <c r="K24" s="72" t="n">
        <f aca="false">SUMPRODUCT(--(COUNTIFS(EVENT_LOG!$C:$C,"SOA",EVENT_LOG!$B:$B,{1,2,3,4,5,6,7,8,9,10,11,12,13,14,15,16,17,18,19,20,21,22,23,24,25,26,27,28,29,30,31,32,33,34,35,36,37,38,39,40,41,42,43,44,45,46,47,48,49,50})&gt;0))</f>
        <v>4</v>
      </c>
    </row>
    <row r="25" customFormat="false" ht="24" hidden="false" customHeight="true" outlineLevel="0" collapsed="false">
      <c r="B25" s="78" t="s">
        <v>363</v>
      </c>
      <c r="C25" s="79" t="s">
        <v>355</v>
      </c>
      <c r="D25" s="68" t="n">
        <f aca="false">COUNTIF(EVENT_LOG!$C:$C,"SPI")</f>
        <v>4</v>
      </c>
      <c r="E25" s="68" t="n">
        <f aca="false">COUNTIFS(EVENT_LOG!$C:$C,"SPI",EVENT_LOG!$G:$G,"Positive indicator")</f>
        <v>4</v>
      </c>
      <c r="F25" s="68" t="n">
        <f aca="false">COUNTIFS(EVENT_LOG!$C:$C,"SPI",EVENT_LOG!$G:$G,"Anti-indicator")</f>
        <v>0</v>
      </c>
      <c r="G25" s="69" t="n">
        <f aca="false">IFERROR(AVERAGEIFS(EVENT_LOG!$F:$F,EVENT_LOG!$C:$C,"SPI",EVENT_LOG!$G:$G,"Positive indicator"),"—")</f>
        <v>8.5</v>
      </c>
      <c r="H25" s="70" t="n">
        <f aca="false">IF(ISNUMBER(G25),MAX(0,MIN(10,G25)),"—")</f>
        <v>8.5</v>
      </c>
      <c r="I25" s="68" t="str">
        <f aca="false">IF(ISNUMBER(D25),IF(K25&gt;=3,"✅ OK","⚠️ &lt;3 distinct matches — VIDEO_PENDING"),"—")</f>
        <v>✅ OK</v>
      </c>
      <c r="J25" s="71" t="s">
        <v>364</v>
      </c>
      <c r="K25" s="72" t="n">
        <f aca="false">SUMPRODUCT(--(COUNTIFS(EVENT_LOG!$C:$C,"SPI",EVENT_LOG!$B:$B,{1,2,3,4,5,6,7,8,9,10,11,12,13,14,15,16,17,18,19,20,21,22,23,24,25,26,27,28,29,30,31,32,33,34,35,36,37,38,39,40,41,42,43,44,45,46,47,48,49,50})&gt;0))</f>
        <v>3</v>
      </c>
    </row>
    <row r="26" customFormat="false" ht="14.25" hidden="false" customHeight="false" outlineLevel="0" collapsed="false">
      <c r="B26" s="78" t="s">
        <v>365</v>
      </c>
      <c r="C26" s="79" t="s">
        <v>355</v>
      </c>
      <c r="D26" s="68" t="n">
        <f aca="false">COUNTIF(EVENT_LOG!$C:$C,"CLM")</f>
        <v>3</v>
      </c>
      <c r="E26" s="68" t="n">
        <f aca="false">COUNTIFS(EVENT_LOG!$C:$C,"CLM",EVENT_LOG!$G:$G,"Positive indicator")</f>
        <v>3</v>
      </c>
      <c r="F26" s="68" t="n">
        <f aca="false">COUNTIFS(EVENT_LOG!$C:$C,"CLM",EVENT_LOG!$G:$G,"Anti-indicator")</f>
        <v>0</v>
      </c>
      <c r="G26" s="69" t="n">
        <f aca="false">IFERROR(AVERAGEIFS(EVENT_LOG!$F:$F,EVENT_LOG!$C:$C,"CLM",EVENT_LOG!$G:$G,"Positive indicator"),"—")</f>
        <v>7</v>
      </c>
      <c r="H26" s="70" t="n">
        <f aca="false">IF(ISNUMBER(G26),MAX(0,MIN(10,G26)),"—")</f>
        <v>7</v>
      </c>
      <c r="I26" s="68" t="str">
        <f aca="false">IF(ISNUMBER(D26),IF(K26&gt;=3,"✅ OK","⚠️ &lt;3 distinct matches — VIDEO_PENDING"),"—")</f>
        <v>✅ OK</v>
      </c>
      <c r="J26" s="71" t="s">
        <v>366</v>
      </c>
      <c r="K26" s="72" t="n">
        <f aca="false">SUMPRODUCT(--(COUNTIFS(EVENT_LOG!$C:$C,"CLM",EVENT_LOG!$B:$B,{1,2,3,4,5,6,7,8,9,10,11,12,13,14,15,16,17,18,19,20,21,22,23,24,25,26,27,28,29,30,31,32,33,34,35,36,37,38,39,40,41,42,43,44,45,46,47,48,49,50})&gt;0))</f>
        <v>3</v>
      </c>
    </row>
    <row r="27" customFormat="false" ht="24" hidden="false" customHeight="true" outlineLevel="0" collapsed="false">
      <c r="B27" s="78" t="s">
        <v>367</v>
      </c>
      <c r="C27" s="79" t="s">
        <v>355</v>
      </c>
      <c r="D27" s="68" t="n">
        <f aca="false">COUNTIF(EVENT_LOG!$C:$C,"CRS")</f>
        <v>6</v>
      </c>
      <c r="E27" s="68" t="n">
        <f aca="false">COUNTIFS(EVENT_LOG!$C:$C,"CRS",EVENT_LOG!$G:$G,"Positive indicator")</f>
        <v>6</v>
      </c>
      <c r="F27" s="68" t="n">
        <f aca="false">COUNTIFS(EVENT_LOG!$C:$C,"CRS",EVENT_LOG!$G:$G,"Anti-indicator")</f>
        <v>0</v>
      </c>
      <c r="G27" s="69" t="n">
        <f aca="false">IFERROR(AVERAGEIFS(EVENT_LOG!$F:$F,EVENT_LOG!$C:$C,"CRS",EVENT_LOG!$G:$G,"Positive indicator"),"—")</f>
        <v>9</v>
      </c>
      <c r="H27" s="70" t="n">
        <f aca="false">IF(ISNUMBER(G27),MAX(0,MIN(10,G27)),"—")</f>
        <v>9</v>
      </c>
      <c r="I27" s="68" t="str">
        <f aca="false">IF(ISNUMBER(D27),IF(K27&gt;=3,"✅ OK","⚠️ &lt;3 distinct matches — VIDEO_PENDING"),"—")</f>
        <v>✅ OK</v>
      </c>
      <c r="J27" s="71" t="s">
        <v>368</v>
      </c>
      <c r="K27" s="72" t="n">
        <f aca="false">SUMPRODUCT(--(COUNTIFS(EVENT_LOG!$C:$C,"CRS",EVENT_LOG!$B:$B,{1,2,3,4,5,6,7,8,9,10,11,12,13,14,15,16,17,18,19,20,21,22,23,24,25,26,27,28,29,30,31,32,33,34,35,36,37,38,39,40,41,42,43,44,45,46,47,48,49,50})&gt;0))</f>
        <v>3</v>
      </c>
    </row>
    <row r="28" customFormat="false" ht="36" hidden="false" customHeight="true" outlineLevel="0" collapsed="false">
      <c r="B28" s="78" t="s">
        <v>369</v>
      </c>
      <c r="C28" s="79" t="s">
        <v>355</v>
      </c>
      <c r="D28" s="68" t="n">
        <f aca="false">COUNTIF(EVENT_LOG!$C:$C,"OMS")</f>
        <v>4</v>
      </c>
      <c r="E28" s="68" t="n">
        <f aca="false">COUNTIFS(EVENT_LOG!$C:$C,"OMS",EVENT_LOG!$G:$G,"Positive indicator")</f>
        <v>4</v>
      </c>
      <c r="F28" s="68" t="n">
        <f aca="false">COUNTIFS(EVENT_LOG!$C:$C,"OMS",EVENT_LOG!$G:$G,"Anti-indicator")</f>
        <v>0</v>
      </c>
      <c r="G28" s="69" t="n">
        <f aca="false">IFERROR(AVERAGEIFS(EVENT_LOG!$F:$F,EVENT_LOG!$C:$C,"OMS",EVENT_LOG!$G:$G,"Positive indicator"),"—")</f>
        <v>8.33333333333333</v>
      </c>
      <c r="H28" s="70" t="n">
        <f aca="false">IF(ISNUMBER(G28),MAX(0,MIN(10,G28)),"—")</f>
        <v>8.33333333333333</v>
      </c>
      <c r="I28" s="68" t="str">
        <f aca="false">IF(ISNUMBER(D28),IF(K28&gt;=3,"✅ OK","⚠️ &lt;3 distinct matches — VIDEO_PENDING"),"—")</f>
        <v>✅ OK</v>
      </c>
      <c r="J28" s="71" t="s">
        <v>370</v>
      </c>
      <c r="K28" s="72" t="n">
        <f aca="false">SUMPRODUCT(--(COUNTIFS(EVENT_LOG!$C:$C,"OMS",EVENT_LOG!$B:$B,{1,2,3,4,5,6,7,8,9,10,11,12,13,14,15,16,17,18,19,20,21,22,23,24,25,26,27,28,29,30,31,32,33,34,35,36,37,38,39,40,41,42,43,44,45,46,47,48,49,50})&gt;0))</f>
        <v>3</v>
      </c>
    </row>
    <row r="29" customFormat="false" ht="14.25" hidden="false" customHeight="false" outlineLevel="0" collapsed="false">
      <c r="B29" s="78" t="s">
        <v>371</v>
      </c>
      <c r="C29" s="79" t="s">
        <v>355</v>
      </c>
      <c r="D29" s="68" t="n">
        <f aca="false">COUNTIF(EVENT_LOG!$C:$C,"DYN")</f>
        <v>6</v>
      </c>
      <c r="E29" s="68" t="n">
        <f aca="false">COUNTIFS(EVENT_LOG!$C:$C,"DYN",EVENT_LOG!$G:$G,"Positive indicator")</f>
        <v>6</v>
      </c>
      <c r="F29" s="68" t="n">
        <f aca="false">COUNTIFS(EVENT_LOG!$C:$C,"DYN",EVENT_LOG!$G:$G,"Anti-indicator")</f>
        <v>0</v>
      </c>
      <c r="G29" s="69" t="n">
        <f aca="false">IFERROR(AVERAGEIFS(EVENT_LOG!$F:$F,EVENT_LOG!$C:$C,"DYN",EVENT_LOG!$G:$G,"Positive indicator"),"—")</f>
        <v>8.5</v>
      </c>
      <c r="H29" s="70" t="n">
        <f aca="false">IF(ISNUMBER(G29),MAX(0,MIN(10,G29)),"—")</f>
        <v>8.5</v>
      </c>
      <c r="I29" s="68" t="str">
        <f aca="false">IF(ISNUMBER(D29),IF(K29&gt;=3,"✅ OK","⚠️ &lt;3 distinct matches — VIDEO_PENDING"),"—")</f>
        <v>✅ OK</v>
      </c>
      <c r="J29" s="71" t="s">
        <v>372</v>
      </c>
      <c r="K29" s="72" t="n">
        <f aca="false">SUMPRODUCT(--(COUNTIFS(EVENT_LOG!$C:$C,"DYN",EVENT_LOG!$B:$B,{1,2,3,4,5,6,7,8,9,10,11,12,13,14,15,16,17,18,19,20,21,22,23,24,25,26,27,28,29,30,31,32,33,34,35,36,37,38,39,40,41,42,43,44,45,46,47,48,49,50})&gt;0))</f>
        <v>4</v>
      </c>
    </row>
    <row r="30" customFormat="false" ht="24" hidden="false" customHeight="true" outlineLevel="0" collapsed="false">
      <c r="B30" s="78" t="s">
        <v>373</v>
      </c>
      <c r="C30" s="79" t="s">
        <v>355</v>
      </c>
      <c r="D30" s="68" t="n">
        <f aca="false">COUNTIF(EVENT_LOG!$C:$C,"CRK")</f>
        <v>9</v>
      </c>
      <c r="E30" s="68" t="n">
        <f aca="false">COUNTIFS(EVENT_LOG!$C:$C,"CRK",EVENT_LOG!$G:$G,"Positive indicator")</f>
        <v>9</v>
      </c>
      <c r="F30" s="68" t="n">
        <f aca="false">COUNTIFS(EVENT_LOG!$C:$C,"CRK",EVENT_LOG!$G:$G,"Anti-indicator")</f>
        <v>0</v>
      </c>
      <c r="G30" s="69" t="n">
        <f aca="false">IFERROR(AVERAGEIFS(EVENT_LOG!$F:$F,EVENT_LOG!$C:$C,"CRK",EVENT_LOG!$G:$G,"Positive indicator"),"—")</f>
        <v>7.88888888888889</v>
      </c>
      <c r="H30" s="70" t="n">
        <f aca="false">IF(ISNUMBER(G30),MAX(0,MIN(10,G30)),"—")</f>
        <v>7.88888888888889</v>
      </c>
      <c r="I30" s="68" t="str">
        <f aca="false">IF(ISNUMBER(D30),IF(K30&gt;=3,"✅ OK","⚠️ &lt;3 distinct matches — VIDEO_PENDING"),"—")</f>
        <v>✅ OK</v>
      </c>
      <c r="J30" s="71" t="s">
        <v>374</v>
      </c>
      <c r="K30" s="72" t="n">
        <f aca="false">SUMPRODUCT(--(COUNTIFS(EVENT_LOG!$C:$C,"CRK",EVENT_LOG!$B:$B,{1,2,3,4,5,6,7,8,9,10,11,12,13,14,15,16,17,18,19,20,21,22,23,24,25,26,27,28,29,30,31,32,33,34,35,36,37,38,39,40,41,42,43,44,45,46,47,48,49,50})&gt;0))</f>
        <v>4</v>
      </c>
    </row>
    <row r="32" customFormat="false" ht="15" hidden="false" customHeight="true" outlineLevel="0" collapsed="false">
      <c r="B32" s="80" t="s">
        <v>375</v>
      </c>
      <c r="C32" s="80"/>
      <c r="D32" s="80"/>
      <c r="E32" s="80"/>
      <c r="F32" s="80"/>
      <c r="G32" s="80"/>
      <c r="H32" s="81" t="n">
        <f aca="false">IF(AND(K7&gt;=3,K8&gt;=3,K9&gt;=3),1,0)+IF(AND(K14&gt;=3,K15&gt;=3,K16&gt;=3),1,0)+IF(K21&gt;=3,1,0)+IF(K22&gt;=3,1,0)+IF(K23&gt;=3,1,0)+IF(K24&gt;=3,1,0)+IF(K25&gt;=3,1,0)+IF(K26&gt;=3,1,0)+IF(K27&gt;=3,1,0)+IF(K28&gt;=3,1,0)+IF(K29&gt;=3,1,0)+IF(K30&gt;=3,1,0)</f>
        <v>12</v>
      </c>
      <c r="I32" s="82" t="str">
        <f aca="false">IF(H32&gt;=12,"✅ 12/12 — FULLY GRADED",IF(H32&gt;=7,"✅ Threshold met — FGA_v3_Final will activate","⚠️ "&amp;(12-H32)&amp;" more metric(s) needed for 12/12"))</f>
        <v>✅ 12/12 — FULLY GRADED</v>
      </c>
      <c r="J32" s="82"/>
    </row>
    <row r="34" customFormat="false" ht="14.25" hidden="false" customHeight="false" outlineLevel="0" collapsed="false">
      <c r="B34" s="83" t="s">
        <v>376</v>
      </c>
    </row>
    <row r="35" customFormat="false" ht="14.25" hidden="false" customHeight="false" outlineLevel="0" collapsed="false">
      <c r="B35" s="84" t="s">
        <v>320</v>
      </c>
      <c r="C35" s="84" t="s">
        <v>321</v>
      </c>
      <c r="D35" s="84" t="s">
        <v>322</v>
      </c>
      <c r="E35" s="84" t="s">
        <v>323</v>
      </c>
      <c r="F35" s="84" t="s">
        <v>324</v>
      </c>
      <c r="G35" s="84" t="s">
        <v>325</v>
      </c>
      <c r="H35" s="84" t="s">
        <v>326</v>
      </c>
      <c r="I35" s="84" t="s">
        <v>327</v>
      </c>
    </row>
    <row r="36" customFormat="false" ht="21.75" hidden="false" customHeight="true" outlineLevel="0" collapsed="false">
      <c r="B36" s="85" t="s">
        <v>377</v>
      </c>
      <c r="C36" s="86" t="s">
        <v>355</v>
      </c>
      <c r="D36" s="86" t="n">
        <f aca="false">COUNTIF(EVENT_LOG!$C:$C,"KEY")</f>
        <v>6</v>
      </c>
      <c r="E36" s="86" t="n">
        <f aca="false">COUNTIFS(EVENT_LOG!$C:$C,"KEY",EVENT_LOG!$G:$G,"Positive indicator")</f>
        <v>6</v>
      </c>
      <c r="F36" s="86" t="n">
        <f aca="false">COUNTIFS(EVENT_LOG!$C:$C,"KEY",EVENT_LOG!$G:$G,"Anti-indicator")</f>
        <v>0</v>
      </c>
      <c r="G36" s="87" t="n">
        <f aca="false">IFERROR(AVERAGEIFS(EVENT_LOG!$F:$F,EVENT_LOG!$C:$C,"KEY",EVENT_LOG!$G:$G,"Positive indicator"),"—")</f>
        <v>8.4</v>
      </c>
      <c r="H36" s="88" t="n">
        <f aca="false">IF(ISNUMBER(G36),MAX(0,MIN(10,G36)),"—")</f>
        <v>8.4</v>
      </c>
      <c r="I36" s="86" t="str">
        <f aca="false">IF(ISNUMBER(D36),IF(D36&gt;=3,"✅ OK — event count only, not match-spread checked","⚠️ &lt;3 events — VIDEO_PENDING"),"—")</f>
        <v>✅ OK — event count only, not match-spread checked</v>
      </c>
    </row>
    <row r="37" customFormat="false" ht="27.75" hidden="false" customHeight="true" outlineLevel="0" collapsed="false">
      <c r="B37" s="89" t="s">
        <v>378</v>
      </c>
      <c r="C37" s="86" t="s">
        <v>355</v>
      </c>
      <c r="D37" s="86" t="n">
        <f aca="false">COUNTIF(EVENT_LOG!$C:$C,"STK")</f>
        <v>11</v>
      </c>
      <c r="E37" s="86" t="n">
        <f aca="false">COUNTIFS(EVENT_LOG!$C:$C,"STK",EVENT_LOG!$G:$G,"Positive indicator")</f>
        <v>11</v>
      </c>
      <c r="F37" s="86" t="n">
        <f aca="false">COUNTIFS(EVENT_LOG!$C:$C,"STK",EVENT_LOG!$G:$G,"Anti-indicator")</f>
        <v>0</v>
      </c>
      <c r="G37" s="87" t="n">
        <f aca="false">IFERROR(AVERAGEIFS(EVENT_LOG!$F:$F,EVENT_LOG!$C:$C,"STK",EVENT_LOG!$G:$G,"Positive indicator"),"—")</f>
        <v>7.1</v>
      </c>
      <c r="H37" s="88" t="n">
        <f aca="false">IF(ISNUMBER(G37),MAX(0,MIN(10,G37)),"—")</f>
        <v>7.1</v>
      </c>
      <c r="I37" s="86" t="str">
        <f aca="false">IF(ISNUMBER(D37),IF(D37&gt;=3,"✅ OK — event count only, not match-spread checked","⚠️ &lt;3 events — VIDEO_PENDING"),"—")</f>
        <v>✅ OK — event count only, not match-spread checked</v>
      </c>
    </row>
    <row r="38" customFormat="false" ht="21.75" hidden="false" customHeight="true" outlineLevel="0" collapsed="false">
      <c r="B38" s="89" t="s">
        <v>379</v>
      </c>
      <c r="C38" s="86" t="s">
        <v>355</v>
      </c>
      <c r="D38" s="86" t="n">
        <f aca="false">COUNTIF(EVENT_LOG!$C:$C,"LGP")</f>
        <v>6</v>
      </c>
      <c r="E38" s="86" t="n">
        <f aca="false">COUNTIFS(EVENT_LOG!$C:$C,"LGP",EVENT_LOG!$G:$G,"Positive indicator")</f>
        <v>6</v>
      </c>
      <c r="F38" s="86" t="n">
        <f aca="false">COUNTIFS(EVENT_LOG!$C:$C,"LGP",EVENT_LOG!$G:$G,"Anti-indicator")</f>
        <v>0</v>
      </c>
      <c r="G38" s="87" t="n">
        <f aca="false">IFERROR(AVERAGEIFS(EVENT_LOG!$F:$F,EVENT_LOG!$C:$C,"LGP",EVENT_LOG!$G:$G,"Positive indicator"),"—")</f>
        <v>8.5</v>
      </c>
      <c r="H38" s="88" t="n">
        <f aca="false">IF(ISNUMBER(G38),MAX(0,MIN(10,G38)),"—")</f>
        <v>8.5</v>
      </c>
      <c r="I38" s="86" t="str">
        <f aca="false">IF(ISNUMBER(D38),IF(D38&gt;=3,"✅ OK — event count only, not match-spread checked","⚠️ &lt;3 events — VIDEO_PENDING"),"—")</f>
        <v>✅ OK — event count only, not match-spread checked</v>
      </c>
    </row>
    <row r="39" customFormat="false" ht="23.25" hidden="false" customHeight="true" outlineLevel="0" collapsed="false">
      <c r="B39" s="90" t="s">
        <v>380</v>
      </c>
      <c r="C39" s="86" t="s">
        <v>355</v>
      </c>
      <c r="D39" s="86" t="n">
        <f aca="false">COUNTIF(EVENT_LOG!$C:$C,"VRP")</f>
        <v>7</v>
      </c>
      <c r="E39" s="86" t="n">
        <f aca="false">COUNTIFS(EVENT_LOG!$C:$C,"VRP",EVENT_LOG!$G:$G,"Positive indicator")</f>
        <v>7</v>
      </c>
      <c r="F39" s="86" t="n">
        <f aca="false">COUNTIFS(EVENT_LOG!$C:$C,"VRP",EVENT_LOG!$G:$G,"Anti-indicator")</f>
        <v>0</v>
      </c>
      <c r="G39" s="87" t="n">
        <f aca="false">IFERROR(AVERAGEIFS(EVENT_LOG!$F:$F,EVENT_LOG!$C:$C,"VRP",EVENT_LOG!$G:$G,"Positive indicator"),"—")</f>
        <v>8.33333333333333</v>
      </c>
      <c r="H39" s="88" t="n">
        <f aca="false">IF(ISNUMBER(G39),MAX(0,MIN(10,G39)),"—")</f>
        <v>8.33333333333333</v>
      </c>
      <c r="I39" s="86" t="str">
        <f aca="false">IF(ISNUMBER(D39),IF(D39&gt;=3,"✅ OK — event count only, not match-spread checked","⚠️ &lt;3 events — VIDEO_PENDING"),"—")</f>
        <v>✅ OK — event count only, not match-spread checked</v>
      </c>
    </row>
    <row r="40" customFormat="false" ht="24" hidden="false" customHeight="true" outlineLevel="0" collapsed="false">
      <c r="B40" s="91" t="s">
        <v>381</v>
      </c>
      <c r="C40" s="86" t="s">
        <v>355</v>
      </c>
      <c r="D40" s="86" t="n">
        <f aca="false">COUNTIF(EVENT_LOG!$C:$C,"HZP")</f>
        <v>3</v>
      </c>
      <c r="E40" s="86" t="n">
        <f aca="false">COUNTIFS(EVENT_LOG!$C:$C,"HZP",EVENT_LOG!$G:$G,"Positive indicator")</f>
        <v>3</v>
      </c>
      <c r="F40" s="86" t="n">
        <f aca="false">COUNTIFS(EVENT_LOG!$C:$C,"HZP",EVENT_LOG!$G:$G,"Anti-indicator")</f>
        <v>0</v>
      </c>
      <c r="G40" s="87" t="n">
        <f aca="false">IFERROR(AVERAGEIFS(EVENT_LOG!$F:$F,EVENT_LOG!$C:$C,"HZP",EVENT_LOG!$G:$G,"Positive indicator"),"—")</f>
        <v>7.66666666666667</v>
      </c>
      <c r="H40" s="88" t="n">
        <f aca="false">IF(ISNUMBER(G40),MAX(0,MIN(10,G40)),"—")</f>
        <v>7.66666666666667</v>
      </c>
      <c r="I40" s="86" t="str">
        <f aca="false">IF(ISNUMBER(D40),IF(D40&gt;=3,"✅ OK — event count only, not match-spread checked","⚠️ &lt;3 events — VIDEO_PENDING"),"—")</f>
        <v>✅ OK — event count only, not match-spread checked</v>
      </c>
    </row>
    <row r="41" customFormat="false" ht="21" hidden="false" customHeight="true" outlineLevel="0" collapsed="false">
      <c r="B41" s="92" t="s">
        <v>382</v>
      </c>
      <c r="C41" s="86" t="s">
        <v>355</v>
      </c>
      <c r="D41" s="86" t="n">
        <f aca="false">COUNTIF(EVENT_LOG!$C:$C,"DRB")</f>
        <v>20</v>
      </c>
      <c r="E41" s="86" t="n">
        <f aca="false">COUNTIFS(EVENT_LOG!$C:$C,"DRB",EVENT_LOG!$G:$G,"Positive indicator")</f>
        <v>20</v>
      </c>
      <c r="F41" s="86" t="n">
        <f aca="false">COUNTIFS(EVENT_LOG!$C:$C,"DRB",EVENT_LOG!$G:$G,"Anti-indicator")</f>
        <v>0</v>
      </c>
      <c r="G41" s="87" t="n">
        <f aca="false">IFERROR(AVERAGEIFS(EVENT_LOG!$F:$F,EVENT_LOG!$C:$C,"DRB",EVENT_LOG!$G:$G,"Positive indicator"),"—")</f>
        <v>7.42105263157895</v>
      </c>
      <c r="H41" s="88" t="n">
        <f aca="false">IF(ISNUMBER(G41),MAX(0,MIN(10,G41)),"—")</f>
        <v>7.42105263157895</v>
      </c>
      <c r="I41" s="86" t="str">
        <f aca="false">IF(ISNUMBER(D41),IF(D41&gt;=3,"✅ OK — event count only, not match-spread checked","⚠️ &lt;3 events — VIDEO_PENDING"),"—")</f>
        <v>✅ OK — event count only, not match-spread checked</v>
      </c>
    </row>
    <row r="42" customFormat="false" ht="22.5" hidden="false" customHeight="true" outlineLevel="0" collapsed="false">
      <c r="B42" s="92" t="s">
        <v>383</v>
      </c>
      <c r="C42" s="86" t="s">
        <v>355</v>
      </c>
      <c r="D42" s="86" t="n">
        <f aca="false">COUNTIF(EVENT_LOG!$C:$C,"CAR")</f>
        <v>10</v>
      </c>
      <c r="E42" s="86" t="n">
        <f aca="false">COUNTIFS(EVENT_LOG!$C:$C,"CAR",EVENT_LOG!$G:$G,"Positive indicator")</f>
        <v>10</v>
      </c>
      <c r="F42" s="86" t="n">
        <f aca="false">COUNTIFS(EVENT_LOG!$C:$C,"CAR",EVENT_LOG!$G:$G,"Anti-indicator")</f>
        <v>0</v>
      </c>
      <c r="G42" s="87" t="n">
        <f aca="false">IFERROR(AVERAGEIFS(EVENT_LOG!$F:$F,EVENT_LOG!$C:$C,"CAR",EVENT_LOG!$G:$G,"Positive indicator"),"—")</f>
        <v>7.9</v>
      </c>
      <c r="H42" s="88" t="n">
        <f aca="false">IF(ISNUMBER(G42),MAX(0,MIN(10,G42)),"—")</f>
        <v>7.9</v>
      </c>
      <c r="I42" s="86" t="str">
        <f aca="false">IF(ISNUMBER(D42),IF(D42&gt;=3,"✅ OK — event count only, not match-spread checked","⚠️ &lt;3 events — VIDEO_PENDING"),"—")</f>
        <v>✅ OK — event count only, not match-spread checked</v>
      </c>
    </row>
    <row r="43" customFormat="false" ht="21" hidden="false" customHeight="true" outlineLevel="0" collapsed="false">
      <c r="B43" s="92" t="s">
        <v>384</v>
      </c>
      <c r="C43" s="86" t="s">
        <v>355</v>
      </c>
      <c r="D43" s="86" t="n">
        <f aca="false">COUNTIF(EVENT_LOG!$C:$C,"INT")</f>
        <v>8</v>
      </c>
      <c r="E43" s="86" t="n">
        <f aca="false">COUNTIFS(EVENT_LOG!$C:$C,"INT",EVENT_LOG!$G:$G,"Positive indicator")</f>
        <v>8</v>
      </c>
      <c r="F43" s="86" t="n">
        <f aca="false">COUNTIFS(EVENT_LOG!$C:$C,"INT",EVENT_LOG!$G:$G,"Anti-indicator")</f>
        <v>0</v>
      </c>
      <c r="G43" s="87" t="n">
        <f aca="false">IFERROR(AVERAGEIFS(EVENT_LOG!$F:$F,EVENT_LOG!$C:$C,"INT",EVENT_LOG!$G:$G,"Positive indicator"),"—")</f>
        <v>7.125</v>
      </c>
      <c r="H43" s="88" t="n">
        <f aca="false">IF(ISNUMBER(G43),MAX(0,MIN(10,G43)),"—")</f>
        <v>7.125</v>
      </c>
      <c r="I43" s="86" t="str">
        <f aca="false">IF(ISNUMBER(D43),IF(D43&gt;=3,"✅ OK — event count only, not match-spread checked","⚠️ &lt;3 events — VIDEO_PENDING"),"—")</f>
        <v>✅ OK — event count only, not match-spread checked</v>
      </c>
    </row>
    <row r="44" customFormat="false" ht="24" hidden="false" customHeight="true" outlineLevel="0" collapsed="false">
      <c r="B44" s="92" t="s">
        <v>385</v>
      </c>
      <c r="C44" s="86" t="s">
        <v>355</v>
      </c>
      <c r="D44" s="86" t="n">
        <f aca="false">COUNTIF(EVENT_LOG!$C:$C,"TAC")</f>
        <v>3</v>
      </c>
      <c r="E44" s="86" t="n">
        <f aca="false">COUNTIFS(EVENT_LOG!$C:$C,"TAC",EVENT_LOG!$G:$G,"Positive indicator")</f>
        <v>3</v>
      </c>
      <c r="F44" s="86" t="n">
        <f aca="false">COUNTIFS(EVENT_LOG!$C:$C,"TAC",EVENT_LOG!$G:$G,"Anti-indicator")</f>
        <v>0</v>
      </c>
      <c r="G44" s="87" t="n">
        <f aca="false">IFERROR(AVERAGEIFS(EVENT_LOG!$F:$F,EVENT_LOG!$C:$C,"TAC",EVENT_LOG!$G:$G,"Positive indicator"),"—")</f>
        <v>5.66666666666667</v>
      </c>
      <c r="H44" s="88" t="n">
        <f aca="false">IF(ISNUMBER(G44),MAX(0,MIN(10,G44)),"—")</f>
        <v>5.66666666666667</v>
      </c>
      <c r="I44" s="86" t="str">
        <f aca="false">IF(ISNUMBER(D44),IF(D44&gt;=3,"✅ OK — event count only, not match-spread checked","⚠️ &lt;3 events — VIDEO_PENDING"),"—")</f>
        <v>✅ OK — event count only, not match-spread checked</v>
      </c>
    </row>
    <row r="45" customFormat="false" ht="14.25" hidden="false" customHeight="false" outlineLevel="0" collapsed="false">
      <c r="B45" s="83" t="s">
        <v>386</v>
      </c>
    </row>
    <row r="46" customFormat="false" ht="23.85" hidden="false" customHeight="false" outlineLevel="0" collapsed="false">
      <c r="B46" s="84" t="s">
        <v>320</v>
      </c>
      <c r="C46" s="84" t="s">
        <v>321</v>
      </c>
      <c r="D46" s="84" t="s">
        <v>322</v>
      </c>
      <c r="E46" s="84" t="s">
        <v>323</v>
      </c>
      <c r="F46" s="84" t="s">
        <v>324</v>
      </c>
      <c r="G46" s="84" t="s">
        <v>325</v>
      </c>
      <c r="H46" s="84" t="s">
        <v>326</v>
      </c>
      <c r="I46" s="84" t="s">
        <v>327</v>
      </c>
      <c r="J46" s="0" t="s">
        <v>328</v>
      </c>
      <c r="K46" s="66" t="s">
        <v>329</v>
      </c>
    </row>
    <row r="47" customFormat="false" ht="14.25" hidden="false" customHeight="false" outlineLevel="0" collapsed="false">
      <c r="B47" s="93" t="s">
        <v>387</v>
      </c>
      <c r="C47" s="94" t="s">
        <v>355</v>
      </c>
      <c r="D47" s="86" t="n">
        <f aca="false">COUNTIF(EVENT_LOG!$C:$C,"RDS")</f>
        <v>1</v>
      </c>
      <c r="E47" s="86" t="n">
        <f aca="false">COUNTIF(EVENT_LOG!$C:$C,"RDS")</f>
        <v>1</v>
      </c>
      <c r="F47" s="86" t="n">
        <f aca="false">COUNTIF(EVENT_LOG!$C:$C,"RDS")</f>
        <v>1</v>
      </c>
      <c r="G47" s="87" t="n">
        <f aca="false">IFERROR(AVERAGEIFS(EVENT_LOG!$F:$F,EVENT_LOG!$C:$C,"RDS",EVENT_LOG!$G:$G,"Positive indicator"),"—")</f>
        <v>7</v>
      </c>
      <c r="H47" s="95" t="n">
        <f aca="false">IF(ISNUMBER(G47),MAX(0,MIN(10,G47)),"—")</f>
        <v>7</v>
      </c>
      <c r="I47" s="86" t="str">
        <f aca="false">IF(ISNUMBER(D47),IF(K47&gt;=3,"✅ OK","⚠️ &lt;3 distinct matches — VIDEO_PENDING"),"—")</f>
        <v>⚠️ &lt;3 distinct matches — VIDEO_PENDING</v>
      </c>
      <c r="J47" s="86" t="s">
        <v>388</v>
      </c>
      <c r="K47" s="72" t="n">
        <f aca="false">SUMPRODUCT(--(COUNTIFS(EVENT_LOG!$C:$C,"RDS",EVENT_LOG!$B:$B,{1,2,3,4,5,6,7,8,9,10,11,12,13,14,15,16,17,18,19,20,21,22,23,24,25,26,27,28,29,30,31,32,33,34,35,36,37,38,39,40,41,42,43,44,45,46,47,48,49,50})&gt;0))</f>
        <v>1</v>
      </c>
    </row>
    <row r="48" customFormat="false" ht="14.25" hidden="false" customHeight="false" outlineLevel="0" collapsed="false">
      <c r="B48" s="93" t="s">
        <v>389</v>
      </c>
      <c r="C48" s="94" t="s">
        <v>355</v>
      </c>
      <c r="D48" s="86" t="n">
        <f aca="false">COUNTIF(EVENT_LOG!$C:$C,"UNP")</f>
        <v>2</v>
      </c>
      <c r="E48" s="86" t="n">
        <f aca="false">COUNTIF(EVENT_LOG!$C:$C,"UNP")</f>
        <v>2</v>
      </c>
      <c r="F48" s="86" t="n">
        <f aca="false">COUNTIF(EVENT_LOG!$C:$C,"UNP")</f>
        <v>2</v>
      </c>
      <c r="G48" s="87" t="n">
        <f aca="false">IFERROR(AVERAGEIFS(EVENT_LOG!$F:$F,EVENT_LOG!$C:$C,"UNP",EVENT_LOG!$G:$G,"Positive indicator"),"—")</f>
        <v>9.5</v>
      </c>
      <c r="H48" s="95" t="n">
        <f aca="false">IF(ISNUMBER(G48),MAX(0,MIN(10,G48)),"—")</f>
        <v>9.5</v>
      </c>
      <c r="I48" s="86" t="str">
        <f aca="false">IF(ISNUMBER(D48),IF(K48&gt;=3,"✅ OK","⚠️ &lt;3 distinct matches — VIDEO_PENDING"),"—")</f>
        <v>⚠️ &lt;3 distinct matches — VIDEO_PENDING</v>
      </c>
      <c r="J48" s="86" t="s">
        <v>390</v>
      </c>
      <c r="K48" s="72" t="n">
        <f aca="false">SUMPRODUCT(--(COUNTIFS(EVENT_LOG!$C:$C,"UNP",EVENT_LOG!$B:$B,{1,2,3,4,5,6,7,8,9,10,11,12,13,14,15,16,17,18,19,20,21,22,23,24,25,26,27,28,29,30,31,32,33,34,35,36,37,38,39,40,41,42,43,44,45,46,47,48,49,50})&gt;0))</f>
        <v>1</v>
      </c>
    </row>
    <row r="49" customFormat="false" ht="14.25" hidden="false" customHeight="false" outlineLevel="0" collapsed="false">
      <c r="B49" s="93" t="s">
        <v>391</v>
      </c>
      <c r="C49" s="94" t="s">
        <v>355</v>
      </c>
      <c r="D49" s="86" t="n">
        <f aca="false">COUNTIF(EVENT_LOG!$C:$C,"DGP")</f>
        <v>2</v>
      </c>
      <c r="E49" s="86" t="n">
        <f aca="false">COUNTIF(EVENT_LOG!$C:$C,"DGP")</f>
        <v>2</v>
      </c>
      <c r="F49" s="86" t="n">
        <f aca="false">COUNTIF(EVENT_LOG!$C:$C,"DGP")</f>
        <v>2</v>
      </c>
      <c r="G49" s="87" t="n">
        <f aca="false">IFERROR(AVERAGEIFS(EVENT_LOG!$F:$F,EVENT_LOG!$C:$C,"DGP",EVENT_LOG!$G:$G,"Positive indicator"),"—")</f>
        <v>6</v>
      </c>
      <c r="H49" s="95" t="n">
        <f aca="false">IF(ISNUMBER(G49),MAX(0,MIN(10,G49)),"—")</f>
        <v>6</v>
      </c>
      <c r="I49" s="86" t="str">
        <f aca="false">IF(ISNUMBER(D49),IF(K49&gt;=3,"✅ OK","⚠️ &lt;3 distinct matches — VIDEO_PENDING"),"—")</f>
        <v>⚠️ &lt;3 distinct matches — VIDEO_PENDING</v>
      </c>
      <c r="J49" s="86" t="s">
        <v>392</v>
      </c>
      <c r="K49" s="72" t="n">
        <f aca="false">SUMPRODUCT(--(COUNTIFS(EVENT_LOG!$C:$C,"DGP",EVENT_LOG!$B:$B,{1,2,3,4,5,6,7,8,9,10,11,12,13,14,15,16,17,18,19,20,21,22,23,24,25,26,27,28,29,30,31,32,33,34,35,36,37,38,39,40,41,42,43,44,45,46,47,48,49,50})&gt;0))</f>
        <v>1</v>
      </c>
    </row>
    <row r="50" customFormat="false" ht="14.25" hidden="false" customHeight="false" outlineLevel="0" collapsed="false">
      <c r="B50" s="93" t="s">
        <v>393</v>
      </c>
      <c r="C50" s="94" t="s">
        <v>355</v>
      </c>
      <c r="D50" s="86" t="n">
        <f aca="false">COUNTIF(EVENT_LOG!$C:$C,"MRK")</f>
        <v>2</v>
      </c>
      <c r="E50" s="86" t="n">
        <f aca="false">COUNTIF(EVENT_LOG!$C:$C,"MRK")</f>
        <v>2</v>
      </c>
      <c r="F50" s="86" t="n">
        <f aca="false">COUNTIF(EVENT_LOG!$C:$C,"MRK")</f>
        <v>2</v>
      </c>
      <c r="G50" s="87" t="n">
        <f aca="false">IFERROR(AVERAGEIFS(EVENT_LOG!$F:$F,EVENT_LOG!$C:$C,"MRK",EVENT_LOG!$G:$G,"Positive indicator"),"—")</f>
        <v>6</v>
      </c>
      <c r="H50" s="95" t="n">
        <f aca="false">IF(ISNUMBER(G50),MAX(0,MIN(10,G50)),"—")</f>
        <v>6</v>
      </c>
      <c r="I50" s="86" t="str">
        <f aca="false">IF(ISNUMBER(D50),IF(K50&gt;=3,"✅ OK","⚠️ &lt;3 distinct matches — VIDEO_PENDING"),"—")</f>
        <v>⚠️ &lt;3 distinct matches — VIDEO_PENDING</v>
      </c>
      <c r="J50" s="86" t="s">
        <v>394</v>
      </c>
      <c r="K50" s="72" t="n">
        <f aca="false">SUMPRODUCT(--(COUNTIFS(EVENT_LOG!$C:$C,"MRK",EVENT_LOG!$B:$B,{1,2,3,4,5,6,7,8,9,10,11,12,13,14,15,16,17,18,19,20,21,22,23,24,25,26,27,28,29,30,31,32,33,34,35,36,37,38,39,40,41,42,43,44,45,46,47,48,49,50})&gt;0))</f>
        <v>2</v>
      </c>
    </row>
    <row r="51" customFormat="false" ht="14.25" hidden="false" customHeight="false" outlineLevel="0" collapsed="false">
      <c r="B51" s="93" t="s">
        <v>395</v>
      </c>
      <c r="C51" s="94" t="s">
        <v>355</v>
      </c>
      <c r="D51" s="86" t="n">
        <f aca="false">COUNTIF(EVENT_LOG!$C:$C,"OTP")</f>
        <v>4</v>
      </c>
      <c r="E51" s="86" t="n">
        <f aca="false">COUNTIF(EVENT_LOG!$C:$C,"OTP")</f>
        <v>4</v>
      </c>
      <c r="F51" s="86" t="n">
        <f aca="false">COUNTIF(EVENT_LOG!$C:$C,"OTP")</f>
        <v>4</v>
      </c>
      <c r="G51" s="87" t="n">
        <f aca="false">IFERROR(AVERAGEIFS(EVENT_LOG!$F:$F,EVENT_LOG!$C:$C,"OTP",EVENT_LOG!$G:$G,"Positive indicator"),"—")</f>
        <v>7.75</v>
      </c>
      <c r="H51" s="95" t="n">
        <f aca="false">IF(ISNUMBER(G51),MAX(0,MIN(10,G51)),"—")</f>
        <v>7.75</v>
      </c>
      <c r="I51" s="86" t="str">
        <f aca="false">IF(ISNUMBER(D51),IF(D51&gt;=3,"✅ OK","⚠️ &lt;3 events — VIDEO_PENDING"),"—")</f>
        <v>✅ OK</v>
      </c>
      <c r="J51" s="86" t="s">
        <v>396</v>
      </c>
    </row>
    <row r="52" customFormat="false" ht="14.25" hidden="false" customHeight="false" outlineLevel="0" collapsed="false">
      <c r="B52" s="93" t="s">
        <v>382</v>
      </c>
      <c r="C52" s="94" t="s">
        <v>355</v>
      </c>
      <c r="D52" s="86" t="n">
        <f aca="false">COUNTIF(EVENT_LOG!$C:$C,"DRB")</f>
        <v>20</v>
      </c>
      <c r="E52" s="86" t="n">
        <f aca="false">COUNTIF(EVENT_LOG!$C:$C,"DRB")</f>
        <v>20</v>
      </c>
      <c r="F52" s="86" t="n">
        <f aca="false">COUNTIF(EVENT_LOG!$C:$C,"DRB")</f>
        <v>20</v>
      </c>
      <c r="G52" s="87" t="n">
        <f aca="false">IFERROR(AVERAGEIFS(EVENT_LOG!$F:$F,EVENT_LOG!$C:$C,"DRB",EVENT_LOG!$G:$G,"Positive indicator"),"—")</f>
        <v>7.42105263157895</v>
      </c>
      <c r="H52" s="95" t="n">
        <f aca="false">IF(ISNUMBER(G52),MAX(0,MIN(10,G52)),"—")</f>
        <v>7.42105263157895</v>
      </c>
      <c r="I52" s="86" t="str">
        <f aca="false">IF(ISNUMBER(D52),IF(D52&gt;=3,"✅ OK — event count only, not match-spread checked","⚠️ &lt;3 events — VIDEO_PENDING"),"—")</f>
        <v>✅ OK — event count only, not match-spread checked</v>
      </c>
      <c r="J52" s="86"/>
    </row>
    <row r="53" customFormat="false" ht="14.25" hidden="false" customHeight="false" outlineLevel="0" collapsed="false">
      <c r="B53" s="93" t="s">
        <v>383</v>
      </c>
      <c r="C53" s="94" t="s">
        <v>355</v>
      </c>
      <c r="D53" s="86" t="n">
        <f aca="false">COUNTIF(EVENT_LOG!$C:$C,"CAR")</f>
        <v>10</v>
      </c>
      <c r="E53" s="86" t="n">
        <f aca="false">COUNTIF(EVENT_LOG!$C:$C,"CAR")</f>
        <v>10</v>
      </c>
      <c r="F53" s="86" t="n">
        <f aca="false">COUNTIF(EVENT_LOG!$C:$C,"CAR")</f>
        <v>10</v>
      </c>
      <c r="G53" s="87" t="n">
        <f aca="false">IFERROR(AVERAGEIFS(EVENT_LOG!$F:$F,EVENT_LOG!$C:$C,"CAR",EVENT_LOG!$G:$G,"Positive indicator"),"—")</f>
        <v>7.9</v>
      </c>
      <c r="H53" s="95" t="n">
        <f aca="false">IF(ISNUMBER(G53),MAX(0,MIN(10,G53)),"—")</f>
        <v>7.9</v>
      </c>
      <c r="I53" s="86" t="str">
        <f aca="false">IF(ISNUMBER(D53),IF(D53&gt;=3,"✅ OK — event count only, not match-spread checked","⚠️ &lt;3 events — VIDEO_PENDING"),"—")</f>
        <v>✅ OK — event count only, not match-spread checked</v>
      </c>
      <c r="J53" s="86"/>
    </row>
    <row r="54" customFormat="false" ht="14.25" hidden="false" customHeight="false" outlineLevel="0" collapsed="false">
      <c r="B54" s="93" t="s">
        <v>384</v>
      </c>
      <c r="C54" s="94" t="s">
        <v>355</v>
      </c>
      <c r="D54" s="86" t="n">
        <f aca="false">COUNTIF(EVENT_LOG!$C:$C,"INT")</f>
        <v>8</v>
      </c>
      <c r="E54" s="86" t="n">
        <f aca="false">COUNTIF(EVENT_LOG!$C:$C,"INT")</f>
        <v>8</v>
      </c>
      <c r="F54" s="86" t="n">
        <f aca="false">COUNTIF(EVENT_LOG!$C:$C,"INT")</f>
        <v>8</v>
      </c>
      <c r="G54" s="87" t="n">
        <f aca="false">IFERROR(AVERAGEIFS(EVENT_LOG!$F:$F,EVENT_LOG!$C:$C,"INT",EVENT_LOG!$G:$G,"Positive indicator"),"—")</f>
        <v>7.125</v>
      </c>
      <c r="H54" s="95" t="n">
        <f aca="false">IF(ISNUMBER(G54),MAX(0,MIN(10,G54)),"—")</f>
        <v>7.125</v>
      </c>
      <c r="I54" s="86" t="str">
        <f aca="false">IF(ISNUMBER(D54),IF(D54&gt;=3,"✅ OK — event count only, not match-spread checked","⚠️ &lt;3 events — VIDEO_PENDING"),"—")</f>
        <v>✅ OK — event count only, not match-spread checked</v>
      </c>
      <c r="J54" s="86"/>
    </row>
    <row r="55" customFormat="false" ht="14.25" hidden="false" customHeight="false" outlineLevel="0" collapsed="false">
      <c r="B55" s="93" t="s">
        <v>385</v>
      </c>
      <c r="C55" s="94" t="s">
        <v>355</v>
      </c>
      <c r="D55" s="86" t="n">
        <f aca="false">COUNTIF(EVENT_LOG!$C:$C,"TAC")</f>
        <v>3</v>
      </c>
      <c r="E55" s="86" t="n">
        <f aca="false">COUNTIF(EVENT_LOG!$C:$C,"TAC")</f>
        <v>3</v>
      </c>
      <c r="F55" s="86" t="n">
        <f aca="false">COUNTIF(EVENT_LOG!$C:$C,"TAC")</f>
        <v>3</v>
      </c>
      <c r="G55" s="87" t="n">
        <f aca="false">IFERROR(AVERAGEIFS(EVENT_LOG!$F:$F,EVENT_LOG!$C:$C,"TAC",EVENT_LOG!$G:$G,"Positive indicator"),"—")</f>
        <v>5.66666666666667</v>
      </c>
      <c r="H55" s="95" t="n">
        <f aca="false">IF(ISNUMBER(G55),MAX(0,MIN(10,G55)),"—")</f>
        <v>5.66666666666667</v>
      </c>
      <c r="I55" s="86" t="str">
        <f aca="false">IF(ISNUMBER(D55),IF(D55&gt;=3,"✅ OK — event count only, not match-spread checked","⚠️ &lt;3 events — VIDEO_PENDING"),"—")</f>
        <v>✅ OK — event count only, not match-spread checked</v>
      </c>
      <c r="J55" s="86"/>
    </row>
  </sheetData>
  <mergeCells count="9">
    <mergeCell ref="A1:J1"/>
    <mergeCell ref="A2:J2"/>
    <mergeCell ref="B3:D3"/>
    <mergeCell ref="E3:J3"/>
    <mergeCell ref="B5:J5"/>
    <mergeCell ref="B12:J12"/>
    <mergeCell ref="B19:J19"/>
    <mergeCell ref="B32:G32"/>
    <mergeCell ref="I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7A0A"/>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4" activePane="bottomRight" state="frozen"/>
      <selection pane="topLeft" activeCell="A1" activeCellId="0" sqref="A1"/>
      <selection pane="topRight" activeCell="B1" activeCellId="0" sqref="B1"/>
      <selection pane="bottomLeft" activeCell="A4" activeCellId="0" sqref="A4"/>
      <selection pane="bottomRight" activeCell="L13" activeCellId="0" sqref="L13"/>
    </sheetView>
  </sheetViews>
  <sheetFormatPr defaultColWidth="8.66796875" defaultRowHeight="14.25" customHeight="false"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16"/>
    <col collapsed="false" customWidth="true" hidden="false" outlineLevel="0" max="5" min="4" style="0" width="40"/>
    <col collapsed="false" customWidth="true" hidden="false" outlineLevel="0" max="6" min="6" style="0" width="30"/>
  </cols>
  <sheetData>
    <row r="1" customFormat="false" ht="27.75" hidden="false" customHeight="true" outlineLevel="0" collapsed="false">
      <c r="A1" s="96" t="s">
        <v>397</v>
      </c>
      <c r="B1" s="96"/>
      <c r="C1" s="96"/>
      <c r="D1" s="96"/>
      <c r="E1" s="96"/>
      <c r="F1" s="96"/>
    </row>
    <row r="2" customFormat="false" ht="21.75" hidden="false" customHeight="true" outlineLevel="0" collapsed="false">
      <c r="B2" s="97" t="s">
        <v>398</v>
      </c>
      <c r="C2" s="97" t="s">
        <v>399</v>
      </c>
      <c r="D2" s="97" t="s">
        <v>400</v>
      </c>
      <c r="E2" s="97" t="s">
        <v>401</v>
      </c>
      <c r="F2" s="97" t="s">
        <v>402</v>
      </c>
    </row>
    <row r="3" customFormat="false" ht="18" hidden="false" customHeight="true" outlineLevel="0" collapsed="false">
      <c r="B3" s="6" t="s">
        <v>319</v>
      </c>
      <c r="C3" s="6"/>
      <c r="D3" s="6"/>
      <c r="E3" s="6"/>
      <c r="F3" s="6"/>
    </row>
    <row r="4" customFormat="false" ht="211.5" hidden="false" customHeight="true" outlineLevel="0" collapsed="false">
      <c r="B4" s="98" t="s">
        <v>114</v>
      </c>
      <c r="C4" s="78" t="s">
        <v>403</v>
      </c>
      <c r="D4" s="99" t="s">
        <v>404</v>
      </c>
      <c r="E4" s="100" t="s">
        <v>405</v>
      </c>
      <c r="F4" s="101" t="s">
        <v>406</v>
      </c>
    </row>
    <row r="5" customFormat="false" ht="211.5" hidden="false" customHeight="true" outlineLevel="0" collapsed="false">
      <c r="B5" s="98" t="s">
        <v>168</v>
      </c>
      <c r="C5" s="102" t="s">
        <v>407</v>
      </c>
      <c r="D5" s="99" t="s">
        <v>408</v>
      </c>
      <c r="E5" s="100" t="s">
        <v>409</v>
      </c>
      <c r="F5" s="101" t="s">
        <v>410</v>
      </c>
    </row>
    <row r="6" customFormat="false" ht="18" hidden="false" customHeight="true" outlineLevel="0" collapsed="false">
      <c r="B6" s="6" t="s">
        <v>411</v>
      </c>
      <c r="C6" s="6"/>
      <c r="D6" s="6"/>
      <c r="E6" s="6"/>
      <c r="F6" s="6"/>
    </row>
    <row r="7" customFormat="false" ht="199.5" hidden="false" customHeight="true" outlineLevel="0" collapsed="false">
      <c r="B7" s="98" t="s">
        <v>148</v>
      </c>
      <c r="C7" s="102" t="s">
        <v>412</v>
      </c>
      <c r="D7" s="99" t="s">
        <v>413</v>
      </c>
      <c r="E7" s="100" t="s">
        <v>414</v>
      </c>
      <c r="F7" s="101" t="s">
        <v>415</v>
      </c>
    </row>
    <row r="8" customFormat="false" ht="199.5" hidden="false" customHeight="true" outlineLevel="0" collapsed="false">
      <c r="B8" s="98" t="s">
        <v>116</v>
      </c>
      <c r="C8" s="78" t="s">
        <v>416</v>
      </c>
      <c r="D8" s="99" t="s">
        <v>417</v>
      </c>
      <c r="E8" s="100" t="s">
        <v>418</v>
      </c>
      <c r="F8" s="101" t="s">
        <v>419</v>
      </c>
    </row>
    <row r="9" customFormat="false" ht="18" hidden="false" customHeight="true" outlineLevel="0" collapsed="false">
      <c r="B9" s="103" t="s">
        <v>420</v>
      </c>
      <c r="C9" s="103"/>
      <c r="D9" s="103"/>
      <c r="E9" s="103"/>
      <c r="F9" s="103"/>
    </row>
    <row r="10" customFormat="false" ht="193.5" hidden="false" customHeight="true" outlineLevel="0" collapsed="false">
      <c r="B10" s="98" t="s">
        <v>105</v>
      </c>
      <c r="C10" s="78" t="s">
        <v>421</v>
      </c>
      <c r="D10" s="99" t="s">
        <v>422</v>
      </c>
      <c r="E10" s="100" t="s">
        <v>423</v>
      </c>
      <c r="F10" s="101" t="s">
        <v>424</v>
      </c>
    </row>
    <row r="11" customFormat="false" ht="193.5" hidden="false" customHeight="true" outlineLevel="0" collapsed="false">
      <c r="B11" s="98" t="s">
        <v>121</v>
      </c>
      <c r="C11" s="102" t="s">
        <v>425</v>
      </c>
      <c r="D11" s="99" t="s">
        <v>426</v>
      </c>
      <c r="E11" s="100" t="s">
        <v>427</v>
      </c>
      <c r="F11" s="101" t="s">
        <v>428</v>
      </c>
    </row>
    <row r="12" customFormat="false" ht="193.5" hidden="false" customHeight="true" outlineLevel="0" collapsed="false">
      <c r="B12" s="98" t="s">
        <v>117</v>
      </c>
      <c r="C12" s="78" t="s">
        <v>429</v>
      </c>
      <c r="D12" s="99" t="s">
        <v>430</v>
      </c>
      <c r="E12" s="100" t="s">
        <v>431</v>
      </c>
      <c r="F12" s="101" t="s">
        <v>432</v>
      </c>
    </row>
    <row r="13" customFormat="false" ht="211.5" hidden="false" customHeight="true" outlineLevel="0" collapsed="false">
      <c r="B13" s="98" t="s">
        <v>143</v>
      </c>
      <c r="C13" s="102" t="s">
        <v>433</v>
      </c>
      <c r="D13" s="99" t="s">
        <v>434</v>
      </c>
      <c r="E13" s="100" t="s">
        <v>435</v>
      </c>
      <c r="F13" s="101" t="s">
        <v>436</v>
      </c>
    </row>
    <row r="14" customFormat="false" ht="199.5" hidden="false" customHeight="true" outlineLevel="0" collapsed="false">
      <c r="B14" s="98" t="s">
        <v>191</v>
      </c>
      <c r="C14" s="78" t="s">
        <v>437</v>
      </c>
      <c r="D14" s="99" t="s">
        <v>438</v>
      </c>
      <c r="E14" s="100" t="s">
        <v>439</v>
      </c>
      <c r="F14" s="101" t="s">
        <v>440</v>
      </c>
    </row>
    <row r="15" customFormat="false" ht="193.5" hidden="false" customHeight="true" outlineLevel="0" collapsed="false">
      <c r="B15" s="98" t="s">
        <v>209</v>
      </c>
      <c r="C15" s="102" t="s">
        <v>441</v>
      </c>
      <c r="D15" s="99" t="s">
        <v>442</v>
      </c>
      <c r="E15" s="100" t="s">
        <v>443</v>
      </c>
      <c r="F15" s="101" t="s">
        <v>444</v>
      </c>
    </row>
    <row r="16" customFormat="false" ht="223.5" hidden="false" customHeight="true" outlineLevel="0" collapsed="false">
      <c r="B16" s="98" t="s">
        <v>164</v>
      </c>
      <c r="C16" s="78" t="s">
        <v>445</v>
      </c>
      <c r="D16" s="99" t="s">
        <v>446</v>
      </c>
      <c r="E16" s="100" t="s">
        <v>447</v>
      </c>
      <c r="F16" s="101" t="s">
        <v>448</v>
      </c>
    </row>
    <row r="17" customFormat="false" ht="211.5" hidden="false" customHeight="true" outlineLevel="0" collapsed="false">
      <c r="B17" s="98" t="s">
        <v>115</v>
      </c>
      <c r="C17" s="102" t="s">
        <v>449</v>
      </c>
      <c r="D17" s="99" t="s">
        <v>450</v>
      </c>
      <c r="E17" s="100" t="s">
        <v>451</v>
      </c>
      <c r="F17" s="101" t="s">
        <v>452</v>
      </c>
    </row>
    <row r="18" customFormat="false" ht="217.5" hidden="false" customHeight="true" outlineLevel="0" collapsed="false">
      <c r="B18" s="98" t="s">
        <v>125</v>
      </c>
      <c r="C18" s="78" t="s">
        <v>453</v>
      </c>
      <c r="D18" s="99" t="s">
        <v>454</v>
      </c>
      <c r="E18" s="100" t="s">
        <v>455</v>
      </c>
      <c r="F18" s="101" t="s">
        <v>456</v>
      </c>
    </row>
  </sheetData>
  <mergeCells count="4">
    <mergeCell ref="A1:F1"/>
    <mergeCell ref="B3:F3"/>
    <mergeCell ref="B6:F6"/>
    <mergeCell ref="B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1A1A"/>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defaultColWidth="8.66796875" defaultRowHeight="14.25" customHeight="false" zeroHeight="false" outlineLevelRow="0" outlineLevelCol="0"/>
  <cols>
    <col collapsed="false" customWidth="true" hidden="false" outlineLevel="0" max="1" min="1" style="0" width="4"/>
    <col collapsed="false" customWidth="true" hidden="false" outlineLevel="0" max="3" min="2" style="0" width="18"/>
    <col collapsed="false" customWidth="true" hidden="false" outlineLevel="0" max="4" min="4" style="0" width="50"/>
    <col collapsed="false" customWidth="true" hidden="false" outlineLevel="0" max="5" min="5" style="0" width="20"/>
    <col collapsed="false" customWidth="true" hidden="false" outlineLevel="0" max="6" min="6" style="0" width="15"/>
  </cols>
  <sheetData>
    <row r="1" customFormat="false" ht="27.75" hidden="false" customHeight="true" outlineLevel="0" collapsed="false">
      <c r="A1" s="96" t="s">
        <v>457</v>
      </c>
      <c r="B1" s="96"/>
      <c r="C1" s="96"/>
      <c r="D1" s="96"/>
      <c r="E1" s="96"/>
      <c r="F1" s="96"/>
    </row>
    <row r="2" customFormat="false" ht="19.5" hidden="false" customHeight="true" outlineLevel="0" collapsed="false">
      <c r="A2" s="97" t="s">
        <v>95</v>
      </c>
      <c r="B2" s="97" t="s">
        <v>458</v>
      </c>
      <c r="C2" s="97" t="s">
        <v>399</v>
      </c>
      <c r="D2" s="97" t="s">
        <v>459</v>
      </c>
      <c r="E2" s="97" t="s">
        <v>460</v>
      </c>
      <c r="F2" s="97" t="s">
        <v>461</v>
      </c>
    </row>
    <row r="3" customFormat="false" ht="18" hidden="false" customHeight="true" outlineLevel="0" collapsed="false">
      <c r="A3" s="38" t="n">
        <v>1</v>
      </c>
      <c r="B3" s="104"/>
      <c r="C3" s="104"/>
      <c r="D3" s="104"/>
      <c r="E3" s="104"/>
      <c r="F3" s="105"/>
    </row>
    <row r="4" customFormat="false" ht="18" hidden="false" customHeight="true" outlineLevel="0" collapsed="false">
      <c r="A4" s="38" t="n">
        <v>2</v>
      </c>
      <c r="B4" s="104"/>
      <c r="C4" s="104"/>
      <c r="D4" s="104"/>
      <c r="E4" s="104"/>
      <c r="F4" s="105"/>
    </row>
    <row r="5" customFormat="false" ht="18" hidden="false" customHeight="true" outlineLevel="0" collapsed="false">
      <c r="A5" s="38" t="n">
        <v>3</v>
      </c>
      <c r="B5" s="104"/>
      <c r="C5" s="104"/>
      <c r="D5" s="104"/>
      <c r="E5" s="104"/>
      <c r="F5" s="105"/>
    </row>
    <row r="6" customFormat="false" ht="18" hidden="false" customHeight="true" outlineLevel="0" collapsed="false">
      <c r="A6" s="38" t="n">
        <v>4</v>
      </c>
      <c r="B6" s="104"/>
      <c r="C6" s="104"/>
      <c r="D6" s="104"/>
      <c r="E6" s="104"/>
      <c r="F6" s="105"/>
    </row>
    <row r="7" customFormat="false" ht="18" hidden="false" customHeight="true" outlineLevel="0" collapsed="false">
      <c r="A7" s="38" t="n">
        <v>5</v>
      </c>
      <c r="B7" s="104"/>
      <c r="C7" s="104"/>
      <c r="D7" s="104"/>
      <c r="E7" s="104"/>
      <c r="F7" s="105"/>
    </row>
    <row r="8" customFormat="false" ht="18" hidden="false" customHeight="true" outlineLevel="0" collapsed="false">
      <c r="A8" s="38" t="n">
        <v>6</v>
      </c>
      <c r="B8" s="104"/>
      <c r="C8" s="104"/>
      <c r="D8" s="104"/>
      <c r="E8" s="104"/>
      <c r="F8" s="105"/>
    </row>
    <row r="9" customFormat="false" ht="18" hidden="false" customHeight="true" outlineLevel="0" collapsed="false">
      <c r="A9" s="38" t="n">
        <v>7</v>
      </c>
      <c r="B9" s="104"/>
      <c r="C9" s="104"/>
      <c r="D9" s="104"/>
      <c r="E9" s="104"/>
      <c r="F9" s="105"/>
    </row>
    <row r="10" customFormat="false" ht="18" hidden="false" customHeight="true" outlineLevel="0" collapsed="false">
      <c r="A10" s="38" t="n">
        <v>8</v>
      </c>
      <c r="B10" s="104"/>
      <c r="C10" s="104"/>
      <c r="D10" s="104"/>
      <c r="E10" s="104"/>
      <c r="F10" s="105"/>
    </row>
    <row r="11" customFormat="false" ht="18" hidden="false" customHeight="true" outlineLevel="0" collapsed="false">
      <c r="A11" s="38" t="n">
        <v>9</v>
      </c>
      <c r="B11" s="104"/>
      <c r="C11" s="104"/>
      <c r="D11" s="104"/>
      <c r="E11" s="104"/>
      <c r="F11" s="105"/>
    </row>
    <row r="12" customFormat="false" ht="18" hidden="false" customHeight="true" outlineLevel="0" collapsed="false">
      <c r="A12" s="38" t="n">
        <v>10</v>
      </c>
      <c r="B12" s="104"/>
      <c r="C12" s="104"/>
      <c r="D12" s="104"/>
      <c r="E12" s="104"/>
      <c r="F12" s="105"/>
    </row>
    <row r="13" customFormat="false" ht="18" hidden="false" customHeight="true" outlineLevel="0" collapsed="false">
      <c r="A13" s="38" t="n">
        <v>11</v>
      </c>
      <c r="B13" s="104"/>
      <c r="C13" s="104"/>
      <c r="D13" s="104"/>
      <c r="E13" s="104"/>
      <c r="F13" s="105"/>
    </row>
    <row r="14" customFormat="false" ht="18" hidden="false" customHeight="true" outlineLevel="0" collapsed="false">
      <c r="A14" s="38" t="n">
        <v>12</v>
      </c>
      <c r="B14" s="104"/>
      <c r="C14" s="104"/>
      <c r="D14" s="104"/>
      <c r="E14" s="104"/>
      <c r="F14" s="105"/>
    </row>
    <row r="15" customFormat="false" ht="18" hidden="false" customHeight="true" outlineLevel="0" collapsed="false">
      <c r="A15" s="38" t="n">
        <v>13</v>
      </c>
      <c r="B15" s="104"/>
      <c r="C15" s="104"/>
      <c r="D15" s="104"/>
      <c r="E15" s="104"/>
      <c r="F15" s="105"/>
    </row>
    <row r="16" customFormat="false" ht="18" hidden="false" customHeight="true" outlineLevel="0" collapsed="false">
      <c r="A16" s="38" t="n">
        <v>14</v>
      </c>
      <c r="B16" s="104"/>
      <c r="C16" s="104"/>
      <c r="D16" s="104"/>
      <c r="E16" s="104"/>
      <c r="F16" s="105"/>
    </row>
    <row r="17" customFormat="false" ht="18" hidden="false" customHeight="true" outlineLevel="0" collapsed="false">
      <c r="A17" s="38" t="n">
        <v>15</v>
      </c>
      <c r="B17" s="104"/>
      <c r="C17" s="104"/>
      <c r="D17" s="104"/>
      <c r="E17" s="104"/>
      <c r="F17" s="105"/>
    </row>
    <row r="18" customFormat="false" ht="18" hidden="false" customHeight="true" outlineLevel="0" collapsed="false">
      <c r="A18" s="38" t="n">
        <v>16</v>
      </c>
      <c r="B18" s="104"/>
      <c r="C18" s="104"/>
      <c r="D18" s="104"/>
      <c r="E18" s="104"/>
      <c r="F18" s="105"/>
    </row>
    <row r="19" customFormat="false" ht="18" hidden="false" customHeight="true" outlineLevel="0" collapsed="false">
      <c r="A19" s="38" t="n">
        <v>17</v>
      </c>
      <c r="B19" s="104"/>
      <c r="C19" s="104"/>
      <c r="D19" s="104"/>
      <c r="E19" s="104"/>
      <c r="F19" s="105"/>
    </row>
    <row r="20" customFormat="false" ht="18" hidden="false" customHeight="true" outlineLevel="0" collapsed="false">
      <c r="A20" s="38" t="n">
        <v>18</v>
      </c>
      <c r="B20" s="104"/>
      <c r="C20" s="104"/>
      <c r="D20" s="104"/>
      <c r="E20" s="104"/>
      <c r="F20" s="105"/>
    </row>
    <row r="21" customFormat="false" ht="18" hidden="false" customHeight="true" outlineLevel="0" collapsed="false">
      <c r="A21" s="38" t="n">
        <v>19</v>
      </c>
      <c r="B21" s="104"/>
      <c r="C21" s="104"/>
      <c r="D21" s="104"/>
      <c r="E21" s="104"/>
      <c r="F21" s="105"/>
    </row>
    <row r="22" customFormat="false" ht="18" hidden="false" customHeight="true" outlineLevel="0" collapsed="false">
      <c r="A22" s="38" t="n">
        <v>20</v>
      </c>
      <c r="B22" s="104"/>
      <c r="C22" s="104"/>
      <c r="D22" s="104"/>
      <c r="E22" s="104"/>
      <c r="F22" s="105"/>
    </row>
    <row r="23" customFormat="false" ht="18" hidden="false" customHeight="true" outlineLevel="0" collapsed="false">
      <c r="A23" s="38" t="n">
        <v>21</v>
      </c>
      <c r="B23" s="104"/>
      <c r="C23" s="104"/>
      <c r="D23" s="104"/>
      <c r="E23" s="104"/>
      <c r="F23" s="105"/>
    </row>
    <row r="24" customFormat="false" ht="18" hidden="false" customHeight="true" outlineLevel="0" collapsed="false">
      <c r="A24" s="38" t="n">
        <v>22</v>
      </c>
      <c r="B24" s="104"/>
      <c r="C24" s="104"/>
      <c r="D24" s="104"/>
      <c r="E24" s="104"/>
      <c r="F24" s="105"/>
    </row>
    <row r="25" customFormat="false" ht="18" hidden="false" customHeight="true" outlineLevel="0" collapsed="false">
      <c r="A25" s="38" t="n">
        <v>23</v>
      </c>
      <c r="B25" s="104"/>
      <c r="C25" s="104"/>
      <c r="D25" s="104"/>
      <c r="E25" s="104"/>
      <c r="F25" s="105"/>
    </row>
    <row r="26" customFormat="false" ht="18" hidden="false" customHeight="true" outlineLevel="0" collapsed="false">
      <c r="A26" s="38" t="n">
        <v>24</v>
      </c>
      <c r="B26" s="104"/>
      <c r="C26" s="104"/>
      <c r="D26" s="104"/>
      <c r="E26" s="104"/>
      <c r="F26" s="105"/>
    </row>
    <row r="27" customFormat="false" ht="18" hidden="false" customHeight="true" outlineLevel="0" collapsed="false">
      <c r="A27" s="38" t="n">
        <v>25</v>
      </c>
      <c r="B27" s="104"/>
      <c r="C27" s="104"/>
      <c r="D27" s="104"/>
      <c r="E27" s="104"/>
      <c r="F27" s="105"/>
    </row>
  </sheetData>
  <mergeCells count="1">
    <mergeCell ref="A1:F1"/>
  </mergeCells>
  <dataValidations count="1">
    <dataValidation allowBlank="true" errorStyle="stop" operator="between" showDropDown="false" showErrorMessage="false" showInputMessage="false" sqref="F3:F27"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2026-03-10T08:41:03Z</dcterms:created>
  <dc:creator>openpyxl</dc:creator>
  <dc:description/>
  <dc:language>en-US</dc:language>
  <cp:lastModifiedBy>Jim Totime</cp:lastModifiedBy>
  <dcterms:modified xsi:type="dcterms:W3CDTF">2026-08-29T13:07:32Z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